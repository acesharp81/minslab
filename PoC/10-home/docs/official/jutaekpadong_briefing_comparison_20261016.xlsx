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21398d3ce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핵심성과" sheetId="1" r:id="R1d4635760b434b7f"/>
    <x:sheet xmlns:r="http://schemas.openxmlformats.org/officeDocument/2006/relationships" name="02_성과대조표" sheetId="2" r:id="R199a54494d2d42be"/>
    <x:sheet xmlns:r="http://schemas.openxmlformats.org/officeDocument/2006/relationships" name="03_사업지별매핑" sheetId="3" r:id="Rd38157febe6c4151"/>
    <x:sheet xmlns:r="http://schemas.openxmlformats.org/officeDocument/2006/relationships" name="04_지표정의서" sheetId="4" r:id="Rdb18538098384f92"/>
    <x:sheet xmlns:r="http://schemas.openxmlformats.org/officeDocument/2006/relationships" name="05_출처와검증" sheetId="5" r:id="R5f292f8f7a8b4488"/>
    <x:sheet xmlns:r="http://schemas.openxmlformats.org/officeDocument/2006/relationships" name="06_기획대응판정" sheetId="6" r:id="R501307e70a71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#,##0"/>
    <x:numFmt numFmtId="202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23751"/>
      <x:name val="Carlito"/>
    </x:font>
    <x:font>
      <x:b/>
      <x:sz val="11"/>
      <x:color rgb="FF18314E"/>
      <x:name val="Carlito"/>
    </x:font>
    <x:font>
      <x:sz val="11"/>
      <x:color rgb="FF563F11"/>
      <x:name val="Carlito"/>
    </x:font>
    <x:font>
      <x:b/>
      <x:sz val="11"/>
      <x:color rgb="FF223751"/>
      <x:name val="Carlito"/>
    </x:font>
    <x:font>
      <x:sz val="11"/>
      <x:color rgb="FF126D7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14E"/>
      </x:patternFill>
    </x:fill>
    <x:fill>
      <x:patternFill patternType="solid">
        <x:fgColor rgb="FFEAF2F7"/>
      </x:patternFill>
    </x:fill>
    <x:fill>
      <x:patternFill patternType="solid">
        <x:fgColor rgb="FF126D72"/>
      </x:patternFill>
    </x:fill>
    <x:fill>
      <x:patternFill patternType="solid">
        <x:fgColor rgb="FFE8F1F6"/>
      </x:patternFill>
    </x:fill>
    <x:fill>
      <x:patternFill patternType="solid">
        <x:fgColor rgb="FFE1F3F1"/>
      </x:patternFill>
    </x:fill>
    <x:fill>
      <x:patternFill patternType="solid">
        <x:fgColor rgb="FFFFF4D6"/>
      </x:patternFill>
    </x:fill>
    <x:fill>
      <x:patternFill patternType="solid">
        <x:fgColor rgb="FFF8F9FC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201" fontId="3" fillId="5" borderId="0" xfId="0" applyNumberFormat="1" applyFont="1" applyFill="1" applyBorder="1" applyAlignment="1">
      <x:alignment horizontal="center" vertical="center"/>
    </x:xf>
    <x:xf numFmtId="201" fontId="3" fillId="5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202" fontId="3" fillId="6" borderId="0" xfId="0" applyNumberFormat="1" applyFont="1" applyFill="1" applyBorder="1" applyAlignment="1">
      <x:alignment horizontal="center" vertical="center"/>
    </x:xf>
    <x:xf numFmtId="202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vertical="center"/>
    </x:xf>
    <x:xf numFmtId="201" fontId="0" fillId="8" borderId="0" xfId="0" applyNumberFormat="1" applyFont="1" applyFill="1" applyBorder="1" applyAlignment="1">
      <x:alignment vertical="center"/>
    </x:xf>
    <x:xf numFmtId="201" fontId="0" fillId="8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</x:cellXfs>
  <x:cellStyles count="1">
    <x:cellStyle name="Normal" xfId="0"/>
  </x:cellStyles>
  <x:dxfs count="11">
    <x:dxf>
      <x:font>
        <x:b/>
        <x:color rgb="FFA83224"/>
      </x:font>
      <x:fill>
        <x:patternFill patternType="solid">
          <x:bgColor rgb="FFFDE5DF"/>
        </x:patternFill>
      </x:fill>
    </x:dxf>
    <x:dxf>
      <x:font>
        <x:color rgb="FF815E11"/>
      </x:font>
      <x:fill>
        <x:patternFill patternType="solid">
          <x:bgColor rgb="FFFFF1CF"/>
        </x:patternFill>
      </x:fill>
    </x:dxf>
    <x:dxf>
      <x:fill>
        <x:patternFill patternType="solid">
          <x:bgColor rgb="FFD8EFEF"/>
        </x:patternFill>
      </x:fill>
    </x:dxf>
    <x:dxf>
      <x:fill>
        <x:patternFill patternType="solid">
          <x:bgColor rgb="FFFFF0D2"/>
        </x:patternFill>
      </x:fill>
    </x:dxf>
    <x:dxf>
      <x:fill>
        <x:patternFill patternType="solid">
          <x:bgColor rgb="FFE9E4F9"/>
        </x:patternFill>
      </x:fill>
    </x:dxf>
    <x:dxf>
      <x:fill>
        <x:patternFill patternType="solid">
          <x:bgColor rgb="FFDAE6FA"/>
        </x:patternFill>
      </x:fill>
    </x:dxf>
    <x:dxf>
      <x:fill>
        <x:patternFill patternType="solid">
          <x:bgColor rgb="FFDAE6FA"/>
        </x:patternFill>
      </x:fill>
    </x:dxf>
    <x:dxf>
      <x:fill>
        <x:patternFill patternType="solid">
          <x:bgColor rgb="FFDCF2E9"/>
        </x:patternFill>
      </x:fill>
    </x:dxf>
    <x:dxf>
      <x:fill>
        <x:patternFill patternType="solid">
          <x:bgColor rgb="FFFFF0C8"/>
        </x:patternFill>
      </x:fill>
    </x:dxf>
    <x:dxf>
      <x:fill>
        <x:patternFill patternType="solid">
          <x:bgColor rgb="FFE6E8F7"/>
        </x:patternFill>
      </x:fill>
    </x:dxf>
    <x:dxf>
      <x:fill>
        <x:patternFill patternType="solid">
          <x:bgColor rgb="FFF9DF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31d4857ce43c7" /><Relationship Type="http://schemas.openxmlformats.org/officeDocument/2006/relationships/theme" Target="/xl/theme/theme1.xml" Id="R6f11f2aa3306409b" /><Relationship Type="http://schemas.openxmlformats.org/officeDocument/2006/relationships/sharedStrings" Target="/xl/sharedStrings.xml" Id="Rd8fd508414b045f6" /><Relationship Type="http://schemas.openxmlformats.org/officeDocument/2006/relationships/worksheet" Target="/xl/worksheets/sheet1.xml" Id="R1d4635760b434b7f" /><Relationship Type="http://schemas.openxmlformats.org/officeDocument/2006/relationships/worksheet" Target="/xl/worksheets/sheet2.xml" Id="R199a54494d2d42be" /><Relationship Type="http://schemas.openxmlformats.org/officeDocument/2006/relationships/worksheet" Target="/xl/worksheets/sheet3.xml" Id="Rd38157febe6c4151" /><Relationship Type="http://schemas.openxmlformats.org/officeDocument/2006/relationships/worksheet" Target="/xl/worksheets/sheet4.xml" Id="Rdb18538098384f92" /><Relationship Type="http://schemas.openxmlformats.org/officeDocument/2006/relationships/worksheet" Target="/xl/worksheets/sheet5.xml" Id="R5f292f8f7a8b4488" /><Relationship Type="http://schemas.openxmlformats.org/officeDocument/2006/relationships/worksheet" Target="/xl/worksheets/sheet6.xml" Id="R501307e70a714e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770a50ffc04d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연간 착공 목표 · 실적 · 연말 전망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착공 호수</c:v>
          </c:tx>
          <c:cat>
            <c:strRef>
              <c:f>'01_핵심성과'!$A$40:$A$43</c:f>
              <c:strCache>
                <c:ptCount val="0"/>
              </c:strCache>
            </c:strRef>
          </c:cat>
          <c:val>
            <c:numRef>
              <c:f>'01_핵심성과'!$B$40:$B$43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38</xdr:row>
      <xdr:rowOff>0</xdr:rowOff>
    </xdr:from>
    <xdr:to>
      <xdr:col>12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770a50ffc04d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riefingMetricComparison" displayName="BriefingMetricComparison" ref="A5:O42" headerRowCount="1" totalsRowCount="0" totalsRowShown="0">
  <x:tableColumns count="15">
    <x:tableColumn id="1" name="번호"/>
    <x:tableColumn id="2" name="관리계층"/>
    <x:tableColumn id="3" name="성과항목"/>
    <x:tableColumn id="4" name="귀속 정책·프로그램"/>
    <x:tableColumn id="5" name="발표 구분"/>
    <x:tableColumn id="6" name="기준시점·지역"/>
    <x:tableColumn id="7" name="발표 내용"/>
    <x:tableColumn id="8" name="값(하한·단일)"/>
    <x:tableColumn id="9" name="값(상한)"/>
    <x:tableColumn id="10" name="단위"/>
    <x:tableColumn id="11" name="우리 시스템 설계 연계"/>
    <x:tableColumn id="12" name="추가 KPI·화면"/>
    <x:tableColumn id="13" name="우선순위"/>
    <x:tableColumn id="14" name="검증·중복 주의"/>
    <x:tableColumn id="15" name="1차 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cationStageMapping" displayName="LocationStageMapping" ref="A5:O21" headerRowCount="1" totalsRowCount="0" totalsRowShown="0">
  <x:tableColumns count="15">
    <x:tableColumn id="1" name="번호"/>
    <x:tableColumn id="2" name="지구·사업명"/>
    <x:tableColumn id="3" name="공급 프로그램"/>
    <x:tableColumn id="4" name="단계"/>
    <x:tableColumn id="5" name="발표 상태"/>
    <x:tableColumn id="6" name="발표물량"/>
    <x:tableColumn id="7" name="단위"/>
    <x:tableColumn id="8" name="발표 기준 기간"/>
    <x:tableColumn id="9" name="상위 집계 포함관계"/>
    <x:tableColumn id="10" name="식별 정밀도"/>
    <x:tableColumn id="11" name="당초 예정일"/>
    <x:tableColumn id="12" name="실제 이행일"/>
    <x:tableColumn id="13" name="필수 추가 수집"/>
    <x:tableColumn id="14" name="검증 메모"/>
    <x:tableColumn id="15" name="공식 속기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piDefinitions" displayName="KpiDefinitions" ref="A5:H29" headerRowCount="1" totalsRowCount="0" totalsRowShown="0">
  <x:tableColumns count="8">
    <x:tableColumn id="1" name="지표명"/>
    <x:tableColumn id="2" name="계산식·정의"/>
    <x:tableColumn id="3" name="단위"/>
    <x:tableColumn id="4" name="집계 수준"/>
    <x:tableColumn id="5" name="비교 기준"/>
    <x:tableColumn id="6" name="활용 화면·판단"/>
    <x:tableColumn id="7" name="데이터 품질·해석 유의"/>
    <x:tableColumn id="8" name="우선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Verification" displayName="SourcesVerification" ref="A5:H13" headerRowCount="1" totalsRowCount="0" totalsRowShown="0">
  <x:tableColumns count="8">
    <x:tableColumn id="1" name="번호"/>
    <x:tableColumn id="2" name="공개일"/>
    <x:tableColumn id="3" name="발행 주체"/>
    <x:tableColumn id="4" name="자료명"/>
    <x:tableColumn id="5" name="검증 목적·활용"/>
    <x:tableColumn id="6" name="원천 링크/파일"/>
    <x:tableColumn id="7" name="근거 등급"/>
    <x:tableColumn id="8" name="확인 범위·한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signCoverageAssessment" displayName="DesignCoverageAssessment" ref="A5:I42" headerRowCount="1" totalsRowCount="0" totalsRowShown="0">
  <x:tableColumns count="9">
    <x:tableColumn id="1" name="ID"/>
    <x:tableColumn id="2" name="관리계층"/>
    <x:tableColumn id="3" name="성과 항목"/>
    <x:tableColumn id="4" name="기획 대응판정"/>
    <x:tableColumn id="5" name="판정 설명"/>
    <x:tableColumn id="6" name="필요한 원천정보"/>
    <x:tableColumn id="7" name="추가 구현/분석"/>
    <x:tableColumn id="8" name="우선순위"/>
    <x:tableColumn id="9" name="공식 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00ae6759824c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db88fb7bea4a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c1892d70d645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23f560f9f748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6968ccd9384a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16461a41ff4dca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5" customHeight="1">
      <x:c r="A1" s="4" t="str">
        <x:v>2026.10.16 정부 주택공급 브리핑 × 「주택파동」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32" customHeight="1">
      <x:c r="A3" s="11" t="str">
        <x:v>공식 발언·브리핑 자료 기반 | 브리핑 실적을 우리 지도 중심 정책관리 구조에 대조 | 영상/유튜브 자막은 직접 확인하지 못함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5" ht="29" customHeight="1">
      <x:c r="A5" s="35" t="str">
        <x:v>2026 수도권 착공 목표(호)</x:v>
      </x:c>
      <x:c r="B5" s="35"/>
      <x:c r="C5" s="35"/>
      <x:c r="D5" s="35"/>
      <x:c r="E5" s="35" t="str">
        <x:v>2026 수도권 착공 실적 하한(호)</x:v>
      </x:c>
      <x:c r="F5" s="35"/>
      <x:c r="G5" s="35"/>
      <x:c r="H5" s="35"/>
      <x:c r="I5" s="49" t="str">
        <x:v>목표 대비 실적률</x:v>
      </x:c>
      <x:c r="J5" s="49"/>
      <x:c r="K5" s="49"/>
      <x:c r="L5" s="49"/>
    </x:row>
    <x:row r="6" ht="24" customHeight="1">
      <x:c r="A6" s="46" t="n">
        <x:v>268000</x:v>
      </x:c>
      <x:c r="B6" s="41"/>
      <x:c r="C6" s="41"/>
      <x:c r="D6" s="41"/>
      <x:c r="E6" s="46" t="n">
        <x:v>99000</x:v>
      </x:c>
      <x:c r="F6" s="41"/>
      <x:c r="G6" s="41"/>
      <x:c r="H6" s="41"/>
      <x:c r="I6" s="60" t="n">
        <x:f>E6/A6</x:f>
        <x:v>0.3694029850746269</x:v>
      </x:c>
      <x:c r="J6" s="55"/>
      <x:c r="K6" s="55"/>
      <x:c r="L6" s="55"/>
    </x:row>
    <x:row r="7" ht="24" customHeight="1">
      <x:c r="A7" s="41"/>
      <x:c r="B7" s="41"/>
      <x:c r="C7" s="41"/>
      <x:c r="D7" s="41"/>
      <x:c r="E7" s="41"/>
      <x:c r="F7" s="41"/>
      <x:c r="G7" s="41"/>
      <x:c r="H7" s="41"/>
      <x:c r="I7" s="55"/>
      <x:c r="J7" s="55"/>
      <x:c r="K7" s="55"/>
      <x:c r="L7" s="55"/>
    </x:row>
    <x:row r="8" ht="24" customHeight="1">
      <x:c r="A8" s="41"/>
      <x:c r="B8" s="41"/>
      <x:c r="C8" s="41"/>
      <x:c r="D8" s="41"/>
      <x:c r="E8" s="41"/>
      <x:c r="F8" s="41"/>
      <x:c r="G8" s="41"/>
      <x:c r="H8" s="41"/>
      <x:c r="I8" s="55"/>
      <x:c r="J8" s="55"/>
      <x:c r="K8" s="55"/>
      <x:c r="L8" s="55"/>
    </x:row>
    <x:row r="10" ht="29" customHeight="1">
      <x:c r="A10" s="35" t="str">
        <x:v>연말 착공 전망 하한(호)</x:v>
      </x:c>
      <x:c r="B10" s="35"/>
      <x:c r="C10" s="35"/>
      <x:c r="D10" s="35"/>
      <x:c r="E10" s="35" t="str">
        <x:v>연말 착공 전망 상한(호)</x:v>
      </x:c>
      <x:c r="F10" s="35"/>
      <x:c r="G10" s="35"/>
      <x:c r="H10" s="35"/>
      <x:c r="I10" s="49" t="str">
        <x:v>연말 전망 달성률(하한)</x:v>
      </x:c>
      <x:c r="J10" s="49"/>
      <x:c r="K10" s="49"/>
      <x:c r="L10" s="49"/>
    </x:row>
    <x:row r="11" ht="24" customHeight="1">
      <x:c r="A11" s="46" t="n">
        <x:v>218000</x:v>
      </x:c>
      <x:c r="B11" s="41"/>
      <x:c r="C11" s="41"/>
      <x:c r="D11" s="41"/>
      <x:c r="E11" s="46" t="n">
        <x:v>235000</x:v>
      </x:c>
      <x:c r="F11" s="41"/>
      <x:c r="G11" s="41"/>
      <x:c r="H11" s="41"/>
      <x:c r="I11" s="60" t="n">
        <x:f>A11/A6</x:f>
        <x:v>0.8134328358208955</x:v>
      </x:c>
      <x:c r="J11" s="55"/>
      <x:c r="K11" s="55"/>
      <x:c r="L11" s="55"/>
    </x:row>
    <x:row r="12" ht="24" customHeight="1">
      <x:c r="A12" s="41"/>
      <x:c r="B12" s="41"/>
      <x:c r="C12" s="41"/>
      <x:c r="D12" s="41"/>
      <x:c r="E12" s="41"/>
      <x:c r="F12" s="41"/>
      <x:c r="G12" s="41"/>
      <x:c r="H12" s="41"/>
      <x:c r="I12" s="55"/>
      <x:c r="J12" s="55"/>
      <x:c r="K12" s="55"/>
      <x:c r="L12" s="55"/>
    </x:row>
    <x:row r="13" ht="24" customHeight="1">
      <x:c r="A13" s="41"/>
      <x:c r="B13" s="41"/>
      <x:c r="C13" s="41"/>
      <x:c r="D13" s="41"/>
      <x:c r="E13" s="41"/>
      <x:c r="F13" s="41"/>
      <x:c r="G13" s="41"/>
      <x:c r="H13" s="41"/>
      <x:c r="I13" s="55"/>
      <x:c r="J13" s="55"/>
      <x:c r="K13" s="55"/>
      <x:c r="L13" s="55"/>
    </x:row>
    <x:row r="15" ht="29" customHeight="1">
      <x:c r="A15" s="35" t="str">
        <x:v>8·13 후속 관리과제(건)</x:v>
      </x:c>
      <x:c r="B15" s="35"/>
      <x:c r="C15" s="35"/>
      <x:c r="D15" s="35"/>
      <x:c r="E15" s="35" t="str">
        <x:v>완료된 과제(건)</x:v>
      </x:c>
      <x:c r="F15" s="35"/>
      <x:c r="G15" s="35"/>
      <x:c r="H15" s="35"/>
      <x:c r="I15" s="49" t="str">
        <x:v>과제 완료율</x:v>
      </x:c>
      <x:c r="J15" s="49"/>
      <x:c r="K15" s="49"/>
      <x:c r="L15" s="49"/>
    </x:row>
    <x:row r="16" ht="24" customHeight="1">
      <x:c r="A16" s="46" t="n">
        <x:v>145</x:v>
      </x:c>
      <x:c r="B16" s="41"/>
      <x:c r="C16" s="41"/>
      <x:c r="D16" s="41"/>
      <x:c r="E16" s="46" t="n">
        <x:v>48</x:v>
      </x:c>
      <x:c r="F16" s="41"/>
      <x:c r="G16" s="41"/>
      <x:c r="H16" s="41"/>
      <x:c r="I16" s="60" t="n">
        <x:f>E16/A16</x:f>
        <x:v>0.3310344827586207</x:v>
      </x:c>
      <x:c r="J16" s="55"/>
      <x:c r="K16" s="55"/>
      <x:c r="L16" s="55"/>
    </x:row>
    <x:row r="17" ht="24" customHeight="1">
      <x:c r="A17" s="41"/>
      <x:c r="B17" s="41"/>
      <x:c r="C17" s="41"/>
      <x:c r="D17" s="41"/>
      <x:c r="E17" s="41"/>
      <x:c r="F17" s="41"/>
      <x:c r="G17" s="41"/>
      <x:c r="H17" s="41"/>
      <x:c r="I17" s="55"/>
      <x:c r="J17" s="55"/>
      <x:c r="K17" s="55"/>
      <x:c r="L17" s="55"/>
    </x:row>
    <x:row r="18" ht="24" customHeight="1">
      <x:c r="A18" s="41"/>
      <x:c r="B18" s="41"/>
      <x:c r="C18" s="41"/>
      <x:c r="D18" s="41"/>
      <x:c r="E18" s="41"/>
      <x:c r="F18" s="41"/>
      <x:c r="G18" s="41"/>
      <x:c r="H18" s="41"/>
      <x:c r="I18" s="55"/>
      <x:c r="J18" s="55"/>
      <x:c r="K18" s="55"/>
      <x:c r="L18" s="55"/>
    </x:row>
    <x:row r="20" ht="29" customHeight="1">
      <x:c r="A20" s="35" t="str">
        <x:v>공공주택 착공 목표(호)</x:v>
      </x:c>
      <x:c r="B20" s="35"/>
      <x:c r="C20" s="35"/>
      <x:c r="D20" s="35"/>
      <x:c r="E20" s="35" t="str">
        <x:v>공공주택 착공 실적(호)</x:v>
      </x:c>
      <x:c r="F20" s="35"/>
      <x:c r="G20" s="35"/>
      <x:c r="H20" s="35"/>
      <x:c r="I20" s="49" t="str">
        <x:v>공공주택 착공 달성률</x:v>
      </x:c>
      <x:c r="J20" s="49"/>
      <x:c r="K20" s="49"/>
      <x:c r="L20" s="49"/>
    </x:row>
    <x:row r="21" ht="24" customHeight="1">
      <x:c r="A21" s="46" t="n">
        <x:v>62000</x:v>
      </x:c>
      <x:c r="B21" s="41"/>
      <x:c r="C21" s="41"/>
      <x:c r="D21" s="41"/>
      <x:c r="E21" s="46" t="n">
        <x:v>16200</x:v>
      </x:c>
      <x:c r="F21" s="41"/>
      <x:c r="G21" s="41"/>
      <x:c r="H21" s="41"/>
      <x:c r="I21" s="60" t="n">
        <x:f>E21/A21</x:f>
        <x:v>0.26129032258064516</x:v>
      </x:c>
      <x:c r="J21" s="55"/>
      <x:c r="K21" s="55"/>
      <x:c r="L21" s="55"/>
    </x:row>
    <x:row r="22" ht="24" customHeight="1">
      <x:c r="A22" s="41"/>
      <x:c r="B22" s="41"/>
      <x:c r="C22" s="41"/>
      <x:c r="D22" s="41"/>
      <x:c r="E22" s="41"/>
      <x:c r="F22" s="41"/>
      <x:c r="G22" s="41"/>
      <x:c r="H22" s="41"/>
      <x:c r="I22" s="55"/>
      <x:c r="J22" s="55"/>
      <x:c r="K22" s="55"/>
      <x:c r="L22" s="55"/>
    </x:row>
    <x:row r="23" ht="24" customHeight="1">
      <x:c r="A23" s="41"/>
      <x:c r="B23" s="41"/>
      <x:c r="C23" s="41"/>
      <x:c r="D23" s="41"/>
      <x:c r="E23" s="41"/>
      <x:c r="F23" s="41"/>
      <x:c r="G23" s="41"/>
      <x:c r="H23" s="41"/>
      <x:c r="I23" s="55"/>
      <x:c r="J23" s="55"/>
      <x:c r="K23" s="55"/>
      <x:c r="L23" s="55"/>
    </x:row>
    <x:row r="25" ht="28" customHeight="1">
      <x:c r="A25" s="65" t="str">
        <x:v>해석 주의 ① 9·7 원계획 135만 호(2025.09)와 후속대책 포함 150만 호 이상(2026.10)은 목표 변경 이력으로 관리. ② 9.9만 호는 10월 둘째 주까지 실적 하한, 21.8~23.5만 호는 미래 전망치. ③ 착공·분양공고·입주자 모집·실제 입주를 절대 합산하지 않음.</x:v>
      </x:c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</x:row>
    <x:row r="26" ht="28" customHeight="1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</x:row>
    <x:row r="28" ht="29" customHeight="1">
      <x:c r="A28" s="3" t="str">
        <x:v>우선 적용 과제 | 행정용 지도 중심 통합 상황판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36" customHeight="1">
      <x:c r="A29" s="70" t="str">
        <x:v>P0</x:v>
      </x:c>
      <x:c r="B29" s="70" t="str">
        <x:v>정책 버전</x:v>
      </x:c>
      <x:c r="C29" s="26" t="str">
        <x:v>9·7(135만) → 후속대책 포함(150만 이상) 변경 이력 및 포함관계 보존</x:v>
      </x:c>
      <x:c r="D29" s="26"/>
      <x:c r="E29" s="26"/>
      <x:c r="F29" s="26"/>
      <x:c r="G29" s="26"/>
      <x:c r="H29" s="26"/>
      <x:c r="I29" s="26"/>
      <x:c r="J29" s="26"/>
      <x:c r="K29" s="26"/>
      <x:c r="L29" s="26"/>
    </x:row>
    <x:row r="30" ht="36" customHeight="1">
      <x:c r="A30" s="70" t="str">
        <x:v>P0</x:v>
      </x:c>
      <x:c r="B30" s="70" t="str">
        <x:v>착공 리스크</x:v>
      </x:c>
      <x:c r="C30" s="26" t="str">
        <x:v>연말 실적 전망 달성 위해 10월 2주 이후 추가 착공 필요 11.9~13.6만 호. 사업별 조건 검증 필요</x:v>
      </x:c>
      <x:c r="D30" s="26"/>
      <x:c r="E30" s="26"/>
      <x:c r="F30" s="26"/>
      <x:c r="G30" s="26"/>
      <x:c r="H30" s="26"/>
      <x:c r="I30" s="26"/>
      <x:c r="J30" s="26"/>
      <x:c r="K30" s="26"/>
      <x:c r="L30" s="26"/>
    </x:row>
    <x:row r="31" ht="36" customHeight="1">
      <x:c r="A31" s="70" t="str">
        <x:v>P0</x:v>
      </x:c>
      <x:c r="B31" s="70" t="str">
        <x:v>물량 중복방지</x:v>
      </x:c>
      <x:c r="C31" s="26" t="str">
        <x:v>3기 신도시 실적은 공공주택에 이미 포함. 같은 지구의 착공·분양·입주 물량은 블록별 식별</x:v>
      </x:c>
      <x:c r="D31" s="26"/>
      <x:c r="E31" s="26"/>
      <x:c r="F31" s="26"/>
      <x:c r="G31" s="26"/>
      <x:c r="H31" s="26"/>
      <x:c r="I31" s="26"/>
      <x:c r="J31" s="26"/>
      <x:c r="K31" s="26"/>
      <x:c r="L31" s="26"/>
    </x:row>
    <x:row r="32" ht="36" customHeight="1">
      <x:c r="A32" s="70" t="str">
        <x:v>P0</x:v>
      </x:c>
      <x:c r="B32" s="70" t="str">
        <x:v>단계 정의</x:v>
      </x:c>
      <x:c r="C32" s="26" t="str">
        <x:v>분양공고/모집/계약/준공/입주 각 단계 KPI와 실적·계획·전망 상태 분리</x:v>
      </x:c>
      <x:c r="D32" s="26"/>
      <x:c r="E32" s="26"/>
      <x:c r="F32" s="26"/>
      <x:c r="G32" s="26"/>
      <x:c r="H32" s="26"/>
      <x:c r="I32" s="26"/>
      <x:c r="J32" s="26"/>
      <x:c r="K32" s="26"/>
      <x:c r="L32" s="26"/>
    </x:row>
    <x:row r="33" ht="36" customHeight="1">
      <x:c r="A33" s="70" t="str">
        <x:v>P1</x:v>
      </x:c>
      <x:c r="B33" s="70" t="str">
        <x:v>기관 연동</x:v>
      </x:c>
      <x:c r="C33" s="26" t="str">
        <x:v>인허가·보상·PF 이슈를 사업 및 관계기관 조치기록과 연결</x:v>
      </x:c>
      <x:c r="D33" s="26"/>
      <x:c r="E33" s="26"/>
      <x:c r="F33" s="26"/>
      <x:c r="G33" s="26"/>
      <x:c r="H33" s="26"/>
      <x:c r="I33" s="26"/>
      <x:c r="J33" s="26"/>
      <x:c r="K33" s="26"/>
      <x:c r="L33" s="26"/>
    </x:row>
    <x:row r="34" ht="36" customHeight="1">
      <x:c r="A34" s="70" t="str">
        <x:v>P1</x:v>
      </x:c>
      <x:c r="B34" s="70" t="str">
        <x:v>공표 재현</x:v>
      </x:c>
      <x:c r="C34" s="26" t="str">
        <x:v>격주 브리핑 시점별 공식 원천 스냅샷과 데이터·정정 이력 관리</x:v>
      </x:c>
      <x:c r="D34" s="26"/>
      <x:c r="E34" s="26"/>
      <x:c r="F34" s="26"/>
      <x:c r="G34" s="26"/>
      <x:c r="H34" s="26"/>
      <x:c r="I34" s="26"/>
      <x:c r="J34" s="26"/>
      <x:c r="K34" s="26"/>
      <x:c r="L34" s="26"/>
    </x:row>
    <x:row r="36" ht="29" customHeight="1">
      <x:c r="A36" s="3" t="str">
        <x:v>2026 수도권 착공 현황·전망 (단위: 호, 동일 그래프의 '전망'은 확정 실적이 아님)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9" ht="24" customHeight="1">
      <x:c r="A39" s="17" t="str">
        <x:v>항목</x:v>
      </x:c>
      <x:c r="B39" s="17" t="str">
        <x:v>착공 호수</x:v>
      </x:c>
    </x:row>
    <x:row r="40" ht="25" customHeight="1">
      <x:c r="A40" s="73" t="str">
        <x:v>10월 2주 실적</x:v>
      </x:c>
      <x:c r="B40" s="76" t="n">
        <x:v>99000</x:v>
      </x:c>
    </x:row>
    <x:row r="41" ht="25" customHeight="1">
      <x:c r="A41" s="73" t="str">
        <x:v>연말 전망 하한</x:v>
      </x:c>
      <x:c r="B41" s="76" t="n">
        <x:v>218000</x:v>
      </x:c>
    </x:row>
    <x:row r="42" ht="25" customHeight="1">
      <x:c r="A42" s="73" t="str">
        <x:v>연말 전망 상한</x:v>
      </x:c>
      <x:c r="B42" s="76" t="n">
        <x:v>235000</x:v>
      </x:c>
    </x:row>
    <x:row r="43" ht="25" customHeight="1">
      <x:c r="A43" s="73" t="str">
        <x:v>2026년 목표</x:v>
      </x:c>
      <x:c r="B43" s="76" t="n">
        <x:v>268000</x:v>
      </x:c>
    </x:row>
    <x:row r="46" ht="22" customHeight="1">
      <x:c r="A46" s="78" t="str">
        <x:v>출처</x:v>
      </x:c>
      <x:c r="B46" s="78" t="str">
        <x:v>https://m.korea.kr/briefing/policyBriefingView.do?newsId=156785506</x:v>
      </x:c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</x:row>
  </x:sheetData>
  <x:mergeCells>
    <x:mergeCell ref="A1:L2"/>
    <x:mergeCell ref="A3:L3"/>
    <x:mergeCell ref="A5:D5"/>
    <x:mergeCell ref="A6:D8"/>
    <x:mergeCell ref="E5:H5"/>
    <x:mergeCell ref="E6:H8"/>
    <x:mergeCell ref="I5:L5"/>
    <x:mergeCell ref="I6:L8"/>
    <x:mergeCell ref="A10:D10"/>
    <x:mergeCell ref="A11:D13"/>
    <x:mergeCell ref="E10:H10"/>
    <x:mergeCell ref="E11:H13"/>
    <x:mergeCell ref="I10:L10"/>
    <x:mergeCell ref="I11:L13"/>
    <x:mergeCell ref="A15:D15"/>
    <x:mergeCell ref="A16:D18"/>
    <x:mergeCell ref="E15:H15"/>
    <x:mergeCell ref="E16:H18"/>
    <x:mergeCell ref="I15:L15"/>
    <x:mergeCell ref="I16:L18"/>
    <x:mergeCell ref="A20:D20"/>
    <x:mergeCell ref="A21:D23"/>
    <x:mergeCell ref="E20:H20"/>
    <x:mergeCell ref="E21:H23"/>
    <x:mergeCell ref="I20:L20"/>
    <x:mergeCell ref="I21:L23"/>
    <x:mergeCell ref="A25:L26"/>
    <x:mergeCell ref="A28:L28"/>
    <x:mergeCell ref="C29:L29"/>
    <x:mergeCell ref="C30:L30"/>
    <x:mergeCell ref="C31:L31"/>
    <x:mergeCell ref="C32:L32"/>
    <x:mergeCell ref="C33:L33"/>
    <x:mergeCell ref="C34:L34"/>
    <x:mergeCell ref="A36:L36"/>
    <x:mergeCell ref="B46:L46"/>
  </x:mergeCells>
  <x:pageMargins left="0.7" right="0.7" top="0.75" bottom="0.75" header="0.3" footer="0.3"/>
  <x:drawing xmlns:r="http://schemas.openxmlformats.org/officeDocument/2006/relationships" r:id="R1900ae6759824cc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5" hidden="0" customWidth="1"/>
    <x:col min="3" max="3" width="26" hidden="0" customWidth="1"/>
    <x:col min="4" max="4" width="25" hidden="0" customWidth="1"/>
    <x:col min="5" max="5" width="22" hidden="0" customWidth="1"/>
    <x:col min="6" max="6" width="29" hidden="0" customWidth="1"/>
    <x:col min="7" max="7" width="52" hidden="0" customWidth="1"/>
    <x:col min="8" max="8" width="18" hidden="0" customWidth="1"/>
    <x:col min="9" max="9" width="16" hidden="0" customWidth="1"/>
    <x:col min="10" max="10" width="11" hidden="0" customWidth="1"/>
    <x:col min="11" max="11" width="32" hidden="0" customWidth="1"/>
    <x:col min="12" max="12" width="41" hidden="0" customWidth="1"/>
    <x:col min="13" max="13" width="12" hidden="0" customWidth="1"/>
    <x:col min="14" max="14" width="51" hidden="0" customWidth="1"/>
    <x:col min="15" max="15" width="68" hidden="0" customWidth="1"/>
  </x:cols>
  <x:sheetData>
    <x:row r="1" ht="25" customHeight="1">
      <x:c r="A1" s="4" t="str">
        <x:v>브리핑 성과 × 주택파동 대조표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32" customHeight="1">
      <x:c r="A3" s="11" t="str">
        <x:v>2026.10.16 정례브리핑 공식 속기 기준 | 계획·실적·전망·선행지표를 엄격히 분리 | '설계 연계'는 개발 완료를 뜻하지 않음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5" ht="34" customHeight="1">
      <x:c r="A5" s="19" t="str">
        <x:v>번호</x:v>
      </x:c>
      <x:c r="B5" s="19" t="str">
        <x:v>관리계층</x:v>
      </x:c>
      <x:c r="C5" s="19" t="str">
        <x:v>성과항목</x:v>
      </x:c>
      <x:c r="D5" s="19" t="str">
        <x:v>귀속 정책·프로그램</x:v>
      </x:c>
      <x:c r="E5" s="19" t="str">
        <x:v>발표 구분</x:v>
      </x:c>
      <x:c r="F5" s="19" t="str">
        <x:v>기준시점·지역</x:v>
      </x:c>
      <x:c r="G5" s="19" t="str">
        <x:v>발표 내용</x:v>
      </x:c>
      <x:c r="H5" s="19" t="str">
        <x:v>값(하한·단일)</x:v>
      </x:c>
      <x:c r="I5" s="19" t="str">
        <x:v>값(상한)</x:v>
      </x:c>
      <x:c r="J5" s="19" t="str">
        <x:v>단위</x:v>
      </x:c>
      <x:c r="K5" s="19" t="str">
        <x:v>우리 시스템 설계 연계</x:v>
      </x:c>
      <x:c r="L5" s="19" t="str">
        <x:v>추가 KPI·화면</x:v>
      </x:c>
      <x:c r="M5" s="19" t="str">
        <x:v>우선순위</x:v>
      </x:c>
      <x:c r="N5" s="19" t="str">
        <x:v>검증·중복 주의</x:v>
      </x:c>
      <x:c r="O5" s="19" t="str">
        <x:v>1차 근거 URL</x:v>
      </x:c>
    </x:row>
    <x:row r="6" ht="46" customHeight="1">
      <x:c r="A6" s="26" t="str">
        <x:v>M01</x:v>
      </x:c>
      <x:c r="B6" s="26" t="str">
        <x:v>정책</x:v>
      </x:c>
      <x:c r="C6" s="26" t="str">
        <x:v>9·7 원래 착공목표</x:v>
      </x:c>
      <x:c r="D6" s="26" t="str">
        <x:v>9·7 주택공급 확대방안</x:v>
      </x:c>
      <x:c r="E6" s="26" t="str">
        <x:v>최초계획</x:v>
      </x:c>
      <x:c r="F6" s="26" t="str">
        <x:v>2026~2030/수도권</x:v>
      </x:c>
      <x:c r="G6" s="26" t="str">
        <x:v>총 135만 호 이상 신규착공 계획(2025.9.7 발표)</x:v>
      </x:c>
      <x:c r="H6" s="30" t="n">
        <x:v>1350000</x:v>
      </x:c>
      <x:c r="I6" s="30"/>
      <x:c r="J6" s="26" t="str">
        <x:v>호</x:v>
      </x:c>
      <x:c r="K6" s="26" t="str">
        <x:v>정책별 목표관리</x:v>
      </x:c>
      <x:c r="L6" s="26" t="str">
        <x:v>목표 버전관리(발표일·변경사유·중복범위)</x:v>
      </x:c>
      <x:c r="M6" s="26" t="str">
        <x:v>최상</x:v>
      </x:c>
      <x:c r="N6" s="26" t="str">
        <x:v>2026년 후속 대책 목표에 단순 가산하지 않음</x:v>
      </x:c>
      <x:c r="O6" s="26" t="str">
        <x:v>https://m.korea.kr/briefing/policyBriefingView.do?newsId=156721813</x:v>
      </x:c>
    </x:row>
    <x:row r="7" ht="46" customHeight="1">
      <x:c r="A7" s="26" t="str">
        <x:v>M02</x:v>
      </x:c>
      <x:c r="B7" s="26" t="str">
        <x:v>정책</x:v>
      </x:c>
      <x:c r="C7" s="26" t="str">
        <x:v>확대 통합 착공목표</x:v>
      </x:c>
      <x:c r="D7" s="26" t="str">
        <x:v>9·7+1·29+8·13 등 후속</x:v>
      </x:c>
      <x:c r="E7" s="26" t="str">
        <x:v>변경계획</x:v>
      </x:c>
      <x:c r="F7" s="26" t="str">
        <x:v>2026~2030/수도권</x:v>
      </x:c>
      <x:c r="G7" s="26" t="str">
        <x:v>3차례 대책을 통해 150만 호 이상 착공 추진</x:v>
      </x:c>
      <x:c r="H7" s="30" t="n">
        <x:v>1500000</x:v>
      </x:c>
      <x:c r="I7" s="30"/>
      <x:c r="J7" s="26" t="str">
        <x:v>호</x:v>
      </x:c>
      <x:c r="K7" s="26" t="str">
        <x:v>정책 계층 연계</x:v>
      </x:c>
      <x:c r="L7" s="26" t="str">
        <x:v>원계획 대비 순증분과 포함 관계 분리</x:v>
      </x:c>
      <x:c r="M7" s="26" t="str">
        <x:v>최상</x:v>
      </x:c>
      <x:c r="N7" s="26" t="str">
        <x:v>'이상'이므로 정확한 최종 상한은 제시되지 않음</x:v>
      </x:c>
      <x:c r="O7" s="26" t="str">
        <x:v>https://m.korea.kr/briefing/policyBriefingView.do?newsId=156785506</x:v>
      </x:c>
    </x:row>
    <x:row r="8" ht="46" customHeight="1">
      <x:c r="A8" s="26" t="str">
        <x:v>M03</x:v>
      </x:c>
      <x:c r="B8" s="26" t="str">
        <x:v>정책</x:v>
      </x:c>
      <x:c r="C8" s="26" t="str">
        <x:v>2026 수도권 착공목표</x:v>
      </x:c>
      <x:c r="D8" s="26" t="str">
        <x:v>주택공급 전반</x:v>
      </x:c>
      <x:c r="E8" s="26" t="str">
        <x:v>연간목표</x:v>
      </x:c>
      <x:c r="F8" s="26" t="str">
        <x:v>2026/수도권</x:v>
      </x:c>
      <x:c r="G8" s="26" t="str">
        <x:v>2026년 총 268,000호 착공 목표</x:v>
      </x:c>
      <x:c r="H8" s="30" t="n">
        <x:v>268000</x:v>
      </x:c>
      <x:c r="I8" s="30"/>
      <x:c r="J8" s="26" t="str">
        <x:v>호</x:v>
      </x:c>
      <x:c r="K8" s="26" t="str">
        <x:v>연도별 KPI</x:v>
      </x:c>
      <x:c r="L8" s="26" t="str">
        <x:v>연초목표·변경목표·확정목표 비교</x:v>
      </x:c>
      <x:c r="M8" s="26" t="str">
        <x:v>최상</x:v>
      </x:c>
      <x:c r="N8" s="26" t="str"/>
      <x:c r="O8" s="26" t="str">
        <x:v>https://m.korea.kr/briefing/policyBriefingView.do?newsId=156785506</x:v>
      </x:c>
    </x:row>
    <x:row r="9" ht="46" customHeight="1">
      <x:c r="A9" s="26" t="str">
        <x:v>M04</x:v>
      </x:c>
      <x:c r="B9" s="26" t="str">
        <x:v>정책</x:v>
      </x:c>
      <x:c r="C9" s="26" t="str">
        <x:v>2026 착공 실적</x:v>
      </x:c>
      <x:c r="D9" s="26" t="str">
        <x:v>주택공급 전반</x:v>
      </x:c>
      <x:c r="E9" s="26" t="str">
        <x:v>확정 발표 실적(하한)</x:v>
      </x:c>
      <x:c r="F9" s="26" t="str">
        <x:v>2026년 10월 둘째 주까지/수도권</x:v>
      </x:c>
      <x:c r="G9" s="26" t="str">
        <x:v>99,000호 이상 착공(연간 목표 약 37%)</x:v>
      </x:c>
      <x:c r="H9" s="30" t="n">
        <x:v>99000</x:v>
      </x:c>
      <x:c r="I9" s="30"/>
      <x:c r="J9" s="26" t="str">
        <x:v>호</x:v>
      </x:c>
      <x:c r="K9" s="26" t="str">
        <x:v>계획 대비 실적·진척률</x:v>
      </x:c>
      <x:c r="L9" s="26" t="str">
        <x:v>정의·기준일 표시, 누적실적 지도로 연결</x:v>
      </x:c>
      <x:c r="M9" s="26" t="str">
        <x:v>최상</x:v>
      </x:c>
      <x:c r="N9" s="26" t="str">
        <x:v>'이상'이므로 99,000은 발표 하한</x:v>
      </x:c>
      <x:c r="O9" s="26" t="str">
        <x:v>https://m.korea.kr/briefing/policyBriefingView.do?newsId=156785506</x:v>
      </x:c>
    </x:row>
    <x:row r="10" ht="46" customHeight="1">
      <x:c r="A10" s="26" t="str">
        <x:v>M05</x:v>
      </x:c>
      <x:c r="B10" s="26" t="str">
        <x:v>정책</x:v>
      </x:c>
      <x:c r="C10" s="26" t="str">
        <x:v>2026 연말 착공 전망</x:v>
      </x:c>
      <x:c r="D10" s="26" t="str">
        <x:v>주택공급 전반</x:v>
      </x:c>
      <x:c r="E10" s="26" t="str">
        <x:v>전망</x:v>
      </x:c>
      <x:c r="F10" s="26" t="str">
        <x:v>2026년 말/수도권</x:v>
      </x:c>
      <x:c r="G10" s="26" t="str">
        <x:v>연말 218,000~235,000호 수준 착공 전망</x:v>
      </x:c>
      <x:c r="H10" s="30" t="n">
        <x:v>218000</x:v>
      </x:c>
      <x:c r="I10" s="30" t="n">
        <x:v>235000</x:v>
      </x:c>
      <x:c r="J10" s="26" t="str">
        <x:v>호</x:v>
      </x:c>
      <x:c r="K10" s="26" t="str">
        <x:v>시계열 예측</x:v>
      </x:c>
      <x:c r="L10" s="26" t="str">
        <x:v>전망 시나리오·사업별 달성 조건·실적 대비 편차</x:v>
      </x:c>
      <x:c r="M10" s="26" t="str">
        <x:v>최상</x:v>
      </x:c>
      <x:c r="N10" s="26" t="str">
        <x:v>전망은 착공 실적이 아님; '이상/수준' 표현 일관성 확인</x:v>
      </x:c>
      <x:c r="O10" s="26" t="str">
        <x:v>https://m.korea.kr/briefing/policyBriefingView.do?newsId=156785506</x:v>
      </x:c>
    </x:row>
    <x:row r="11" ht="46" customHeight="1">
      <x:c r="A11" s="26" t="str">
        <x:v>M06</x:v>
      </x:c>
      <x:c r="B11" s="26" t="str">
        <x:v>프로그램</x:v>
      </x:c>
      <x:c r="C11" s="26" t="str">
        <x:v>공공주택 착공 목표</x:v>
      </x:c>
      <x:c r="D11" s="26" t="str">
        <x:v>공공주택</x:v>
      </x:c>
      <x:c r="E11" s="26" t="str">
        <x:v>목표</x:v>
      </x:c>
      <x:c r="F11" s="26" t="str">
        <x:v>2026/수도권</x:v>
      </x:c>
      <x:c r="G11" s="26" t="str">
        <x:v>공공주택 62,000호 착공 목표</x:v>
      </x:c>
      <x:c r="H11" s="30" t="n">
        <x:v>62000</x:v>
      </x:c>
      <x:c r="I11" s="30"/>
      <x:c r="J11" s="26" t="str">
        <x:v>호</x:v>
      </x:c>
      <x:c r="K11" s="26" t="str">
        <x:v>공공주택 프로그램 집계</x:v>
      </x:c>
      <x:c r="L11" s="26" t="str">
        <x:v>사업지·블록별 할당목표 연계</x:v>
      </x:c>
      <x:c r="M11" s="26" t="str">
        <x:v>최상</x:v>
      </x:c>
      <x:c r="N11" s="26" t="str"/>
      <x:c r="O11" s="26" t="str">
        <x:v>https://m.korea.kr/news/policyNewsView.do?newsId=148973657</x:v>
      </x:c>
    </x:row>
    <x:row r="12" ht="46" customHeight="1">
      <x:c r="A12" s="26" t="str">
        <x:v>M07</x:v>
      </x:c>
      <x:c r="B12" s="26" t="str">
        <x:v>프로그램</x:v>
      </x:c>
      <x:c r="C12" s="26" t="str">
        <x:v>공공주택 착공 실적</x:v>
      </x:c>
      <x:c r="D12" s="26" t="str">
        <x:v>공공주택</x:v>
      </x:c>
      <x:c r="E12" s="26" t="str">
        <x:v>실적</x:v>
      </x:c>
      <x:c r="F12" s="26" t="str">
        <x:v>2026년 10월 둘째 주까지</x:v>
      </x:c>
      <x:c r="G12" s="26" t="str">
        <x:v>공공주택 약 16,200호 착공(목표 대비 약 26%)</x:v>
      </x:c>
      <x:c r="H12" s="30" t="n">
        <x:v>16200</x:v>
      </x:c>
      <x:c r="I12" s="30"/>
      <x:c r="J12" s="26" t="str">
        <x:v>호</x:v>
      </x:c>
      <x:c r="K12" s="26" t="str">
        <x:v>착공 단계</x:v>
      </x:c>
      <x:c r="L12" s="26" t="str">
        <x:v>착공 전환율과 지구별 기여율</x:v>
      </x:c>
      <x:c r="M12" s="26" t="str">
        <x:v>최상</x:v>
      </x:c>
      <x:c r="N12" s="26" t="str">
        <x:v>구두 발언 1.6만으로 반올림, 정부 보도해설 1.62만</x:v>
      </x:c>
      <x:c r="O12" s="26" t="str">
        <x:v>https://m.korea.kr/news/policyNewsView.do?newsId=148973657</x:v>
      </x:c>
    </x:row>
    <x:row r="13" ht="46" customHeight="1">
      <x:c r="A13" s="26" t="str">
        <x:v>M08</x:v>
      </x:c>
      <x:c r="B13" s="26" t="str">
        <x:v>프로그램</x:v>
      </x:c>
      <x:c r="C13" s="26" t="str">
        <x:v>3기 신도시 착공 실적</x:v>
      </x:c>
      <x:c r="D13" s="26" t="str">
        <x:v>3기 신도시</x:v>
      </x:c>
      <x:c r="E13" s="26" t="str">
        <x:v>실적</x:v>
      </x:c>
      <x:c r="F13" s="26" t="str">
        <x:v>2026년 10월 둘째 주까지</x:v>
      </x:c>
      <x:c r="G13" s="26" t="str">
        <x:v>고양창릉·인천계양·하남교산·남양주왕숙2 등 합계 약 7,300호</x:v>
      </x:c>
      <x:c r="H13" s="30" t="n">
        <x:v>7300</x:v>
      </x:c>
      <x:c r="I13" s="30"/>
      <x:c r="J13" s="26" t="str">
        <x:v>호</x:v>
      </x:c>
      <x:c r="K13" s="26" t="str">
        <x:v>3기 신도시 지도</x:v>
      </x:c>
      <x:c r="L13" s="26" t="str">
        <x:v>지구-블록 Drill-down, 공공주택과 중복 집계 방지</x:v>
      </x:c>
      <x:c r="M13" s="26" t="str">
        <x:v>최상</x:v>
      </x:c>
      <x:c r="N13" s="26" t="str">
        <x:v>공공주택 1.62만호의 부분집합</x:v>
      </x:c>
      <x:c r="O13" s="26" t="str">
        <x:v>https://m.korea.kr/briefing/policyBriefingView.do?newsId=156785506</x:v>
      </x:c>
    </x:row>
    <x:row r="14" ht="46" customHeight="1">
      <x:c r="A14" s="26" t="str">
        <x:v>M09</x:v>
      </x:c>
      <x:c r="B14" s="26" t="str">
        <x:v>프로그램</x:v>
      </x:c>
      <x:c r="C14" s="26" t="str">
        <x:v>도심 공급 착공</x:v>
      </x:c>
      <x:c r="D14" s="26" t="str">
        <x:v>도심 노후청사 등</x:v>
      </x:c>
      <x:c r="E14" s="26" t="str">
        <x:v>실적(개략)</x:v>
      </x:c>
      <x:c r="F14" s="26" t="str">
        <x:v>2026년 10월 둘째 주까지/서울 등</x:v>
      </x:c>
      <x:c r="G14" s="26" t="str">
        <x:v>노후청사 복합개발 등을 통해 약 2,000호 착공</x:v>
      </x:c>
      <x:c r="H14" s="30" t="n">
        <x:v>2000</x:v>
      </x:c>
      <x:c r="I14" s="30"/>
      <x:c r="J14" s="26" t="str">
        <x:v>호</x:v>
      </x:c>
      <x:c r="K14" s="26" t="str">
        <x:v>도심공급 프로그램</x:v>
      </x:c>
      <x:c r="L14" s="26" t="str">
        <x:v>개별 사업 식별 및 좌표 확인</x:v>
      </x:c>
      <x:c r="M14" s="26" t="str">
        <x:v>높음</x:v>
      </x:c>
      <x:c r="N14" s="26" t="str">
        <x:v>'등'과 '약'이 있어 상세 내역 미확인</x:v>
      </x:c>
      <x:c r="O14" s="26" t="str">
        <x:v>https://m.korea.kr/briefing/policyBriefingView.do?newsId=156785506</x:v>
      </x:c>
    </x:row>
    <x:row r="15" ht="46" customHeight="1">
      <x:c r="A15" s="26" t="str">
        <x:v>M10</x:v>
      </x:c>
      <x:c r="B15" s="26" t="str">
        <x:v>프로그램</x:v>
      </x:c>
      <x:c r="C15" s="26" t="str">
        <x:v>신축매입 주택 착공</x:v>
      </x:c>
      <x:c r="D15" s="26" t="str">
        <x:v>신축매입</x:v>
      </x:c>
      <x:c r="E15" s="26" t="str">
        <x:v>실적</x:v>
      </x:c>
      <x:c r="F15" s="26" t="str">
        <x:v>2026년 10월 둘째 주까지</x:v>
      </x:c>
      <x:c r="G15" s="26" t="str">
        <x:v>신축매입 주택 약 13,000호 착공, 목표의 약 31%</x:v>
      </x:c>
      <x:c r="H15" s="30" t="n">
        <x:v>13000</x:v>
      </x:c>
      <x:c r="I15" s="30"/>
      <x:c r="J15" s="26" t="str">
        <x:v>호</x:v>
      </x:c>
      <x:c r="K15" s="26" t="str">
        <x:v>신축매입 프로그램</x:v>
      </x:c>
      <x:c r="L15" s="26" t="str">
        <x:v>약정→설계→착공 전환 퍼널</x:v>
      </x:c>
      <x:c r="M15" s="26" t="str">
        <x:v>최상</x:v>
      </x:c>
      <x:c r="N15" s="26" t="str">
        <x:v>31%는 정부 구두 발표 비율</x:v>
      </x:c>
      <x:c r="O15" s="26" t="str">
        <x:v>https://m.korea.kr/briefing/policyBriefingView.do?newsId=156785506</x:v>
      </x:c>
    </x:row>
    <x:row r="16" ht="46" customHeight="1">
      <x:c r="A16" s="26" t="str">
        <x:v>M11</x:v>
      </x:c>
      <x:c r="B16" s="26" t="str">
        <x:v>프로그램</x:v>
      </x:c>
      <x:c r="C16" s="26" t="str">
        <x:v>서울 신축매입 착공</x:v>
      </x:c>
      <x:c r="D16" s="26" t="str">
        <x:v>신축매입</x:v>
      </x:c>
      <x:c r="E16" s="26" t="str">
        <x:v>실적(부분집합)</x:v>
      </x:c>
      <x:c r="F16" s="26" t="str">
        <x:v>2026년 10월 둘째 주까지/서울</x:v>
      </x:c>
      <x:c r="G16" s="26" t="str">
        <x:v>신축매입 약 13,000호 중 서울 약 3,600호</x:v>
      </x:c>
      <x:c r="H16" s="30" t="n">
        <x:v>3600</x:v>
      </x:c>
      <x:c r="I16" s="30"/>
      <x:c r="J16" s="26" t="str">
        <x:v>호</x:v>
      </x:c>
      <x:c r="K16" s="26" t="str">
        <x:v>지역별 실적 지도</x:v>
      </x:c>
      <x:c r="L16" s="26" t="str">
        <x:v>서울 자치구별 밀도·전환율</x:v>
      </x:c>
      <x:c r="M16" s="26" t="str">
        <x:v>높음</x:v>
      </x:c>
      <x:c r="N16" s="26" t="str">
        <x:v>전체 1.3만의 부분집합</x:v>
      </x:c>
      <x:c r="O16" s="26" t="str">
        <x:v>https://m.korea.kr/briefing/policyBriefingView.do?newsId=156785506</x:v>
      </x:c>
    </x:row>
    <x:row r="17" ht="46" customHeight="1">
      <x:c r="A17" s="26" t="str">
        <x:v>M12</x:v>
      </x:c>
      <x:c r="B17" s="26" t="str">
        <x:v>프로그램</x:v>
      </x:c>
      <x:c r="C17" s="26" t="str">
        <x:v>매입약정 접수 추이</x:v>
      </x:c>
      <x:c r="D17" s="26" t="str">
        <x:v>신축매입</x:v>
      </x:c>
      <x:c r="E17" s="26" t="str">
        <x:v>선행지표</x:v>
      </x:c>
      <x:c r="F17" s="26" t="str">
        <x:v>2026년 8월 이후</x:v>
      </x:c>
      <x:c r="G17" s="26" t="str">
        <x:v>월평균 접수 약 18,000건 수준, 직전 기간 대비 60% 이상 증가</x:v>
      </x:c>
      <x:c r="H17" s="30" t="n">
        <x:v>18000</x:v>
      </x:c>
      <x:c r="I17" s="30"/>
      <x:c r="J17" s="26" t="str">
        <x:v>건/월</x:v>
      </x:c>
      <x:c r="K17" s="26" t="str">
        <x:v>선행지표·시계열</x:v>
      </x:c>
      <x:c r="L17" s="26" t="str">
        <x:v>접수→실제 착공 전환율·리드타임</x:v>
      </x:c>
      <x:c r="M17" s="26" t="str">
        <x:v>최상</x:v>
      </x:c>
      <x:c r="N17" s="26" t="str">
        <x:v>건과 호의 단위 혼용 금지; 비교기간별 구체적 원천 데이터 필요</x:v>
      </x:c>
      <x:c r="O17" s="26" t="str">
        <x:v>https://m.korea.kr/briefing/policyBriefingView.do?newsId=156785506</x:v>
      </x:c>
    </x:row>
    <x:row r="18" ht="46" customHeight="1">
      <x:c r="A18" s="26" t="str">
        <x:v>M13</x:v>
      </x:c>
      <x:c r="B18" s="26" t="str">
        <x:v>프로그램</x:v>
      </x:c>
      <x:c r="C18" s="26" t="str">
        <x:v>매입약정 8월 증가</x:v>
      </x:c>
      <x:c r="D18" s="26" t="str">
        <x:v>공공매입임대</x:v>
      </x:c>
      <x:c r="E18" s="26" t="str">
        <x:v>선행지표</x:v>
      </x:c>
      <x:c r="F18" s="26" t="str">
        <x:v>2026.8/4~7월 평균 대비</x:v>
      </x:c>
      <x:c r="G18" s="26" t="str">
        <x:v>LH 수도권 공공매입 약정 월 접수 물량 63% 증가</x:v>
      </x:c>
      <x:c r="H18" s="30" t="n">
        <x:v>63</x:v>
      </x:c>
      <x:c r="I18" s="30"/>
      <x:c r="J18" s="26" t="str">
        <x:v>%</x:v>
      </x:c>
      <x:c r="K18" s="26" t="str">
        <x:v>프로그램 추세</x:v>
      </x:c>
      <x:c r="L18" s="26" t="str">
        <x:v>접수 물량 분모·시계열 원천 매칭</x:v>
      </x:c>
      <x:c r="M18" s="26" t="str">
        <x:v>높음</x:v>
      </x:c>
      <x:c r="N18" s="26" t="str">
        <x:v>구두 발표: 8월과 4~7월 평균 비교</x:v>
      </x:c>
      <x:c r="O18" s="26" t="str">
        <x:v>https://m.korea.kr/briefing/policyBriefingView.do?newsId=156785506</x:v>
      </x:c>
    </x:row>
    <x:row r="19" ht="46" customHeight="1">
      <x:c r="A19" s="26" t="str">
        <x:v>M14</x:v>
      </x:c>
      <x:c r="B19" s="26" t="str">
        <x:v>프로그램</x:v>
      </x:c>
      <x:c r="C19" s="26" t="str">
        <x:v>민간정비사업 착공</x:v>
      </x:c>
      <x:c r="D19" s="26" t="str">
        <x:v>민간 재개발·재건축</x:v>
      </x:c>
      <x:c r="E19" s="26" t="str">
        <x:v>실적</x:v>
      </x:c>
      <x:c r="F19" s="26" t="str">
        <x:v>2026년 10월 둘째 주까지</x:v>
      </x:c>
      <x:c r="G19" s="26" t="str">
        <x:v>민간정비사업 약 17,000호 착공</x:v>
      </x:c>
      <x:c r="H19" s="30" t="n">
        <x:v>17000</x:v>
      </x:c>
      <x:c r="I19" s="30"/>
      <x:c r="J19" s="26" t="str">
        <x:v>호</x:v>
      </x:c>
      <x:c r="K19" s="26" t="str">
        <x:v>민간사업 파이프라인</x:v>
      </x:c>
      <x:c r="L19" s="26" t="str">
        <x:v>조합인가·관리처분·이주·철거→착공 병목</x:v>
      </x:c>
      <x:c r="M19" s="26" t="str">
        <x:v>최상</x:v>
      </x:c>
      <x:c r="N19" s="26" t="str"/>
      <x:c r="O19" s="26" t="str">
        <x:v>https://m.korea.kr/briefing/policyBriefingView.do?newsId=156785506</x:v>
      </x:c>
    </x:row>
    <x:row r="20" ht="46" customHeight="1">
      <x:c r="A20" s="26" t="str">
        <x:v>M15</x:v>
      </x:c>
      <x:c r="B20" s="26" t="str">
        <x:v>프로그램</x:v>
      </x:c>
      <x:c r="C20" s="26" t="str">
        <x:v>일반·민간주택 착공</x:v>
      </x:c>
      <x:c r="D20" s="26" t="str">
        <x:v>일반·민간주택</x:v>
      </x:c>
      <x:c r="E20" s="26" t="str">
        <x:v>실적</x:v>
      </x:c>
      <x:c r="F20" s="26" t="str">
        <x:v>2026년 10월 둘째 주까지</x:v>
      </x:c>
      <x:c r="G20" s="26" t="str">
        <x:v>일반·민간주택 등 약 47,000호 착공</x:v>
      </x:c>
      <x:c r="H20" s="30" t="n">
        <x:v>47000</x:v>
      </x:c>
      <x:c r="I20" s="30"/>
      <x:c r="J20" s="26" t="str">
        <x:v>호</x:v>
      </x:c>
      <x:c r="K20" s="26" t="str">
        <x:v>사업유형별 집계</x:v>
      </x:c>
      <x:c r="L20" s="26" t="str">
        <x:v>법정 주택유형 표준 코드 연결</x:v>
      </x:c>
      <x:c r="M20" s="26" t="str">
        <x:v>높음</x:v>
      </x:c>
      <x:c r="N20" s="26" t="str">
        <x:v>공공·정비사업 등과 경계 정의·총량 대사 필요</x:v>
      </x:c>
      <x:c r="O20" s="26" t="str">
        <x:v>https://m.korea.kr/briefing/policyBriefingView.do?newsId=156785506</x:v>
      </x:c>
    </x:row>
    <x:row r="21" ht="46" customHeight="1">
      <x:c r="A21" s="26" t="str">
        <x:v>M16</x:v>
      </x:c>
      <x:c r="B21" s="26" t="str">
        <x:v>프로그램</x:v>
      </x:c>
      <x:c r="C21" s="26" t="str">
        <x:v>공공분양 3분기 실적</x:v>
      </x:c>
      <x:c r="D21" s="26" t="str">
        <x:v>공공분양</x:v>
      </x:c>
      <x:c r="E21" s="26" t="str">
        <x:v>발표 공급(공고 등)</x:v>
      </x:c>
      <x:c r="F21" s="26" t="str">
        <x:v>2026년 1~3분기</x:v>
      </x:c>
      <x:c r="G21" s="26" t="str">
        <x:v>공공분양 약 14,800호 공급 발표</x:v>
      </x:c>
      <x:c r="H21" s="30" t="n">
        <x:v>14800</x:v>
      </x:c>
      <x:c r="I21" s="30"/>
      <x:c r="J21" s="26" t="str">
        <x:v>호</x:v>
      </x:c>
      <x:c r="K21" s="26" t="str">
        <x:v>분양 단계</x:v>
      </x:c>
      <x:c r="L21" s="26" t="str">
        <x:v>분양공고·청약·계약 세분화</x:v>
      </x:c>
      <x:c r="M21" s="26" t="str">
        <x:v>높음</x:v>
      </x:c>
      <x:c r="N21" s="26" t="str">
        <x:v>실제 분양계약·입주로 해석하지 않음</x:v>
      </x:c>
      <x:c r="O21" s="26" t="str">
        <x:v>https://m.korea.kr/briefing/policyBriefingView.do?newsId=156785506</x:v>
      </x:c>
    </x:row>
    <x:row r="22" ht="46" customHeight="1">
      <x:c r="A22" s="26" t="str">
        <x:v>M17</x:v>
      </x:c>
      <x:c r="B22" s="26" t="str">
        <x:v>프로그램</x:v>
      </x:c>
      <x:c r="C22" s="26" t="str">
        <x:v>4분기 공공분양</x:v>
      </x:c>
      <x:c r="D22" s="26" t="str">
        <x:v>공공분양</x:v>
      </x:c>
      <x:c r="E22" s="26" t="str">
        <x:v>계획</x:v>
      </x:c>
      <x:c r="F22" s="26" t="str">
        <x:v>2026년 4분기</x:v>
      </x:c>
      <x:c r="G22" s="26" t="str">
        <x:v>공공분양 약 10,000호 추가 분양공고 계획</x:v>
      </x:c>
      <x:c r="H22" s="30" t="n">
        <x:v>10000</x:v>
      </x:c>
      <x:c r="I22" s="30"/>
      <x:c r="J22" s="26" t="str">
        <x:v>호</x:v>
      </x:c>
      <x:c r="K22" s="26" t="str">
        <x:v>예정 캘린더</x:v>
      </x:c>
      <x:c r="L22" s="26" t="str">
        <x:v>분양공고 실제일·취소/변경 추적</x:v>
      </x:c>
      <x:c r="M22" s="26" t="str">
        <x:v>최상</x:v>
      </x:c>
      <x:c r="N22" s="26" t="str"/>
      <x:c r="O22" s="26" t="str">
        <x:v>https://m.korea.kr/briefing/policyBriefingView.do?newsId=156785506</x:v>
      </x:c>
    </x:row>
    <x:row r="23" ht="46" customHeight="1">
      <x:c r="A23" s="26" t="str">
        <x:v>M18</x:v>
      </x:c>
      <x:c r="B23" s="26" t="str">
        <x:v>프로그램</x:v>
      </x:c>
      <x:c r="C23" s="26" t="str">
        <x:v>4분기 3기 신도시 분양</x:v>
      </x:c>
      <x:c r="D23" s="26" t="str">
        <x:v>공공분양(3기)</x:v>
      </x:c>
      <x:c r="E23" s="26" t="str">
        <x:v>계획(부분집합)</x:v>
      </x:c>
      <x:c r="F23" s="26" t="str">
        <x:v>2026년 4분기</x:v>
      </x:c>
      <x:c r="G23" s="26" t="str">
        <x:v>3기 신도시 약 2,000호 분양 예정</x:v>
      </x:c>
      <x:c r="H23" s="30" t="n">
        <x:v>2000</x:v>
      </x:c>
      <x:c r="I23" s="30"/>
      <x:c r="J23" s="26" t="str">
        <x:v>호</x:v>
      </x:c>
      <x:c r="K23" s="26" t="str">
        <x:v>사업·블록별 분양계획</x:v>
      </x:c>
      <x:c r="L23" s="26" t="str">
        <x:v>착공실적과 별도 분양 KPI</x:v>
      </x:c>
      <x:c r="M23" s="26" t="str">
        <x:v>높음</x:v>
      </x:c>
      <x:c r="N23" s="26" t="str">
        <x:v>공공분양 1만호의 부분집합</x:v>
      </x:c>
      <x:c r="O23" s="26" t="str">
        <x:v>https://m.korea.kr/briefing/policyBriefingView.do?newsId=156785506</x:v>
      </x:c>
    </x:row>
    <x:row r="24" ht="46" customHeight="1">
      <x:c r="A24" s="26" t="str">
        <x:v>M19</x:v>
      </x:c>
      <x:c r="B24" s="26" t="str">
        <x:v>프로그램</x:v>
      </x:c>
      <x:c r="C24" s="26" t="str">
        <x:v>공공임대 3분기 모집</x:v>
      </x:c>
      <x:c r="D24" s="26" t="str">
        <x:v>공공임대</x:v>
      </x:c>
      <x:c r="E24" s="26" t="str">
        <x:v>실적(모집)</x:v>
      </x:c>
      <x:c r="F24" s="26" t="str">
        <x:v>2026년 1~3분기</x:v>
      </x:c>
      <x:c r="G24" s="26" t="str">
        <x:v>공공임대주택 약 15,000호 입주자 모집</x:v>
      </x:c>
      <x:c r="H24" s="30" t="n">
        <x:v>15000</x:v>
      </x:c>
      <x:c r="I24" s="30"/>
      <x:c r="J24" s="26" t="str">
        <x:v>호</x:v>
      </x:c>
      <x:c r="K24" s="26" t="str">
        <x:v>임대 모집 일정</x:v>
      </x:c>
      <x:c r="L24" s="26" t="str">
        <x:v>모집공고 수량과 입주 수량 분리</x:v>
      </x:c>
      <x:c r="M24" s="26" t="str">
        <x:v>높음</x:v>
      </x:c>
      <x:c r="N24" s="26" t="str"/>
      <x:c r="O24" s="26" t="str">
        <x:v>https://m.korea.kr/briefing/policyBriefingView.do?newsId=156785506</x:v>
      </x:c>
    </x:row>
    <x:row r="25" ht="46" customHeight="1">
      <x:c r="A25" s="26" t="str">
        <x:v>M20</x:v>
      </x:c>
      <x:c r="B25" s="26" t="str">
        <x:v>프로그램</x:v>
      </x:c>
      <x:c r="C25" s="26" t="str">
        <x:v>4분기 공공임대 모집</x:v>
      </x:c>
      <x:c r="D25" s="26" t="str">
        <x:v>공공임대</x:v>
      </x:c>
      <x:c r="E25" s="26" t="str">
        <x:v>계획(모집)</x:v>
      </x:c>
      <x:c r="F25" s="26" t="str">
        <x:v>2026년 4분기</x:v>
      </x:c>
      <x:c r="G25" s="26" t="str">
        <x:v>공공임대주택 5,000호 이상 입주자 모집 예정</x:v>
      </x:c>
      <x:c r="H25" s="30" t="n">
        <x:v>5000</x:v>
      </x:c>
      <x:c r="I25" s="30"/>
      <x:c r="J25" s="26" t="str">
        <x:v>호</x:v>
      </x:c>
      <x:c r="K25" s="26" t="str">
        <x:v>모집 예정지도</x:v>
      </x:c>
      <x:c r="L25" s="26" t="str">
        <x:v>사업별 모집 시작·종료·공고 URL</x:v>
      </x:c>
      <x:c r="M25" s="26" t="str">
        <x:v>높음</x:v>
      </x:c>
      <x:c r="N25" s="26" t="str">
        <x:v>분양 1만+임대 5천=4분기 모집 1.5만</x:v>
      </x:c>
      <x:c r="O25" s="26" t="str">
        <x:v>https://m.korea.kr/briefing/policyBriefingView.do?newsId=156785506</x:v>
      </x:c>
    </x:row>
    <x:row r="26" ht="46" customHeight="1">
      <x:c r="A26" s="26" t="str">
        <x:v>M21</x:v>
      </x:c>
      <x:c r="B26" s="26" t="str">
        <x:v>정책</x:v>
      </x:c>
      <x:c r="C26" s="26" t="str">
        <x:v>4분기 총 입주자 모집</x:v>
      </x:c>
      <x:c r="D26" s="26" t="str">
        <x:v>공공분양+공공임대</x:v>
      </x:c>
      <x:c r="E26" s="26" t="str">
        <x:v>계획(모집)</x:v>
      </x:c>
      <x:c r="F26" s="26" t="str">
        <x:v>2026년 4분기</x:v>
      </x:c>
      <x:c r="G26" s="26" t="str">
        <x:v>공공분양·임대 합산 15,000호 이상 입주자 모집 예정</x:v>
      </x:c>
      <x:c r="H26" s="30" t="n">
        <x:v>15000</x:v>
      </x:c>
      <x:c r="I26" s="30"/>
      <x:c r="J26" s="26" t="str">
        <x:v>호</x:v>
      </x:c>
      <x:c r="K26" s="26" t="str">
        <x:v>국민 공급 캘린더</x:v>
      </x:c>
      <x:c r="L26" s="26" t="str">
        <x:v>분양/임대 종별 필터</x:v>
      </x:c>
      <x:c r="M26" s="26" t="str">
        <x:v>높음</x:v>
      </x:c>
      <x:c r="N26" s="26" t="str">
        <x:v>입주자 모집은 실제 입주와 다름</x:v>
      </x:c>
      <x:c r="O26" s="26" t="str">
        <x:v>https://m.korea.kr/briefing/policyBriefingView.do?newsId=156785506</x:v>
      </x:c>
    </x:row>
    <x:row r="27" ht="46" customHeight="1">
      <x:c r="A27" s="26" t="str">
        <x:v>M22</x:v>
      </x:c>
      <x:c r="B27" s="26" t="str">
        <x:v>정책</x:v>
      </x:c>
      <x:c r="C27" s="26" t="str">
        <x:v>공적주택 실제 입주 목표</x:v>
      </x:c>
      <x:c r="D27" s="26" t="str">
        <x:v>공적주택</x:v>
      </x:c>
      <x:c r="E27" s="26" t="str">
        <x:v>계획(입주)</x:v>
      </x:c>
      <x:c r="F27" s="26" t="str">
        <x:v>2026년 4분기~2027년 말/수도권</x:v>
      </x:c>
      <x:c r="G27" s="26" t="str">
        <x:v>공적주택 약 100,000호 입주 추진</x:v>
      </x:c>
      <x:c r="H27" s="30" t="n">
        <x:v>100000</x:v>
      </x:c>
      <x:c r="I27" s="30"/>
      <x:c r="J27" s="26" t="str">
        <x:v>호</x:v>
      </x:c>
      <x:c r="K27" s="26" t="str">
        <x:v>준공·입주 전망</x:v>
      </x:c>
      <x:c r="L27" s="26" t="str">
        <x:v>분양/임대 대상자 모집과 실제 입주 비교</x:v>
      </x:c>
      <x:c r="M27" s="26" t="str">
        <x:v>최상</x:v>
      </x:c>
      <x:c r="N27" s="26" t="str">
        <x:v>착공 2026 물량과 동일 코호트 아님</x:v>
      </x:c>
      <x:c r="O27" s="26" t="str">
        <x:v>https://m.korea.kr/briefing/policyBriefingView.do?newsId=156785506</x:v>
      </x:c>
    </x:row>
    <x:row r="28" ht="46" customHeight="1">
      <x:c r="A28" s="26" t="str">
        <x:v>M23</x:v>
      </x:c>
      <x:c r="B28" s="26" t="str">
        <x:v>정책</x:v>
      </x:c>
      <x:c r="C28" s="26" t="str">
        <x:v>8·13 후속 과제 전체</x:v>
      </x:c>
      <x:c r="D28" s="26" t="str">
        <x:v>8·13 신속공급</x:v>
      </x:c>
      <x:c r="E28" s="26" t="str">
        <x:v>관리대상</x:v>
      </x:c>
      <x:c r="F28" s="26" t="str">
        <x:v>2026.10.16</x:v>
      </x:c>
      <x:c r="G28" s="26" t="str">
        <x:v>후속조치 세부과제 총 145건</x:v>
      </x:c>
      <x:c r="H28" s="30" t="n">
        <x:v>145</x:v>
      </x:c>
      <x:c r="I28" s="30"/>
      <x:c r="J28" s="26" t="str">
        <x:v>건</x:v>
      </x:c>
      <x:c r="K28" s="26" t="str">
        <x:v>정책과제 목록</x:v>
      </x:c>
      <x:c r="L28" s="26" t="str">
        <x:v>과제-프로그램-사업 다대다 연계</x:v>
      </x:c>
      <x:c r="M28" s="26" t="str">
        <x:v>최상</x:v>
      </x:c>
      <x:c r="N28" s="26" t="str">
        <x:v>9·7 입법과제 23개와 다른 집계집합</x:v>
      </x:c>
      <x:c r="O28" s="26" t="str">
        <x:v>https://m.korea.kr/briefing/policyBriefingView.do?newsId=156785506</x:v>
      </x:c>
    </x:row>
    <x:row r="29" ht="46" customHeight="1">
      <x:c r="A29" s="26" t="str">
        <x:v>M24</x:v>
      </x:c>
      <x:c r="B29" s="26" t="str">
        <x:v>정책</x:v>
      </x:c>
      <x:c r="C29" s="26" t="str">
        <x:v>8·13 후속 과제 완료</x:v>
      </x:c>
      <x:c r="D29" s="26" t="str">
        <x:v>8·13 신속공급</x:v>
      </x:c>
      <x:c r="E29" s="26" t="str">
        <x:v>완료</x:v>
      </x:c>
      <x:c r="F29" s="26" t="str">
        <x:v>2026.10.16</x:v>
      </x:c>
      <x:c r="G29" s="26" t="str">
        <x:v>145건 중 완료 48건</x:v>
      </x:c>
      <x:c r="H29" s="30" t="n">
        <x:v>48</x:v>
      </x:c>
      <x:c r="I29" s="30"/>
      <x:c r="J29" s="26" t="str">
        <x:v>건</x:v>
      </x:c>
      <x:c r="K29" s="26" t="str">
        <x:v>추진현황·완료율</x:v>
      </x:c>
      <x:c r="L29" s="26" t="str">
        <x:v>완료 증빙·근거법령·담당자</x:v>
      </x:c>
      <x:c r="M29" s="26" t="str">
        <x:v>최상</x:v>
      </x:c>
      <x:c r="N29" s="26" t="str"/>
      <x:c r="O29" s="26" t="str">
        <x:v>https://m.korea.kr/briefing/policyBriefingView.do?newsId=156785506</x:v>
      </x:c>
    </x:row>
    <x:row r="30" ht="46" customHeight="1">
      <x:c r="A30" s="26" t="str">
        <x:v>M25</x:v>
      </x:c>
      <x:c r="B30" s="26" t="str">
        <x:v>정책</x:v>
      </x:c>
      <x:c r="C30" s="26" t="str">
        <x:v>8·13 후속 과제 추진</x:v>
      </x:c>
      <x:c r="D30" s="26" t="str">
        <x:v>8·13 신속공급</x:v>
      </x:c>
      <x:c r="E30" s="26" t="str">
        <x:v>추진 중</x:v>
      </x:c>
      <x:c r="F30" s="26" t="str">
        <x:v>2026.10.16</x:v>
      </x:c>
      <x:c r="G30" s="26" t="str">
        <x:v>145건 중 97건 정상 추진 중</x:v>
      </x:c>
      <x:c r="H30" s="30" t="n">
        <x:v>97</x:v>
      </x:c>
      <x:c r="I30" s="30"/>
      <x:c r="J30" s="26" t="str">
        <x:v>건</x:v>
      </x:c>
      <x:c r="K30" s="26" t="str">
        <x:v>과제별 상태</x:v>
      </x:c>
      <x:c r="L30" s="26" t="str">
        <x:v>정상/지연/위험 기준 및 변경이력</x:v>
      </x:c>
      <x:c r="M30" s="26" t="str">
        <x:v>높음</x:v>
      </x:c>
      <x:c r="N30" s="26" t="str">
        <x:v>정상 추진을 곧 완료로 집계하지 않음</x:v>
      </x:c>
      <x:c r="O30" s="26" t="str">
        <x:v>https://m.korea.kr/briefing/policyBriefingView.do?newsId=156785506</x:v>
      </x:c>
    </x:row>
    <x:row r="31" ht="46" customHeight="1">
      <x:c r="A31" s="26" t="str">
        <x:v>M26</x:v>
      </x:c>
      <x:c r="B31" s="26" t="str">
        <x:v>기관/병목</x:v>
      </x:c>
      <x:c r="C31" s="26" t="str">
        <x:v>PF 집중관리 사업장</x:v>
      </x:c>
      <x:c r="D31" s="26" t="str">
        <x:v>금융 애로 해소</x:v>
      </x:c>
      <x:c r="E31" s="26" t="str">
        <x:v>진행</x:v>
      </x:c>
      <x:c r="F31" s="26" t="str">
        <x:v>2026.10.16</x:v>
      </x:c>
      <x:c r="G31" s="26" t="str">
        <x:v>주거용 PF 사업장 약 300곳 담당자 지정·맞춤 지원</x:v>
      </x:c>
      <x:c r="H31" s="30" t="n">
        <x:v>300</x:v>
      </x:c>
      <x:c r="I31" s="30"/>
      <x:c r="J31" s="26" t="str">
        <x:v>사업장</x:v>
      </x:c>
      <x:c r="K31" s="26" t="str">
        <x:v>기관·병목 관리</x:v>
      </x:c>
      <x:c r="L31" s="26" t="str">
        <x:v>PF 자금조달 위험도·해결시간</x:v>
      </x:c>
      <x:c r="M31" s="26" t="str">
        <x:v>최상</x:v>
      </x:c>
      <x:c r="N31" s="26" t="str">
        <x:v>착공 물량 단위와 달라서 추가 합산 금지</x:v>
      </x:c>
      <x:c r="O31" s="26" t="str">
        <x:v>https://m.korea.kr/briefing/policyBriefingView.do?newsId=156785506</x:v>
      </x:c>
    </x:row>
    <x:row r="32" ht="46" customHeight="1">
      <x:c r="A32" s="26" t="str">
        <x:v>M27</x:v>
      </x:c>
      <x:c r="B32" s="26" t="str">
        <x:v>기관/병목</x:v>
      </x:c>
      <x:c r="C32" s="26" t="str">
        <x:v>통합 지원센터</x:v>
      </x:c>
      <x:c r="D32" s="26" t="str">
        <x:v>인허가·규제·금융지원</x:v>
      </x:c>
      <x:c r="E32" s="26" t="str">
        <x:v>설치 예정</x:v>
      </x:c>
      <x:c r="F32" s="26" t="str">
        <x:v>2026년 말</x:v>
      </x:c>
      <x:c r="G32" s="26" t="str">
        <x:v>범정부 통합 주택공급지원센터 설치 추진</x:v>
      </x:c>
      <x:c r="H32" s="30"/>
      <x:c r="I32" s="30"/>
      <x:c r="J32" s="26" t="str">
        <x:v>기관</x:v>
      </x:c>
      <x:c r="K32" s="26" t="str">
        <x:v>기관 간 협업</x:v>
      </x:c>
      <x:c r="L32" s="26" t="str">
        <x:v>이슈 등록→조치→해소 SLA 및 리드타임</x:v>
      </x:c>
      <x:c r="M32" s="26" t="str">
        <x:v>높음</x:v>
      </x:c>
      <x:c r="N32" s="26" t="str">
        <x:v>설치 완료 아님</x:v>
      </x:c>
      <x:c r="O32" s="26" t="str">
        <x:v>https://m.korea.kr/briefing/policyBriefingView.do?newsId=156785506</x:v>
      </x:c>
    </x:row>
    <x:row r="33" ht="46" customHeight="1">
      <x:c r="A33" s="26" t="str">
        <x:v>M28</x:v>
      </x:c>
      <x:c r="B33" s="26" t="str">
        <x:v>운영</x:v>
      </x:c>
      <x:c r="C33" s="26" t="str">
        <x:v>공급 정례브리핑</x:v>
      </x:c>
      <x:c r="D33" s="26" t="str">
        <x:v>범부처 점검</x:v>
      </x:c>
      <x:c r="E33" s="26" t="str">
        <x:v>운영 개시</x:v>
      </x:c>
      <x:c r="F33" s="26" t="str">
        <x:v>2026.10.16 이후</x:v>
      </x:c>
      <x:c r="G33" s="26" t="str">
        <x:v>국무조정실·국토부가 월 2회 정례브리핑</x:v>
      </x:c>
      <x:c r="H33" s="30" t="n">
        <x:v>2</x:v>
      </x:c>
      <x:c r="I33" s="30"/>
      <x:c r="J33" s="26" t="str">
        <x:v>회/월</x:v>
      </x:c>
      <x:c r="K33" s="26" t="str">
        <x:v>정례 보고</x:v>
      </x:c>
      <x:c r="L33" s="26" t="str">
        <x:v>브리핑 발표일 기준 데이터 스냅샷 보존</x:v>
      </x:c>
      <x:c r="M33" s="26" t="str">
        <x:v>높음</x:v>
      </x:c>
      <x:c r="N33" s="26" t="str"/>
      <x:c r="O33" s="26" t="str">
        <x:v>https://m.korea.kr/briefing/policyBriefingView.do?newsId=156785506</x:v>
      </x:c>
    </x:row>
    <x:row r="34" ht="46" customHeight="1">
      <x:c r="A34" s="26" t="str">
        <x:v>M29</x:v>
      </x:c>
      <x:c r="B34" s="26" t="str">
        <x:v>운영</x:v>
      </x:c>
      <x:c r="C34" s="26" t="str">
        <x:v>정부 디지털 상황판</x:v>
      </x:c>
      <x:c r="D34" s="26" t="str">
        <x:v>국토부 원스톱 상황판</x:v>
      </x:c>
      <x:c r="E34" s="26" t="str">
        <x:v>시범운영 예정</x:v>
      </x:c>
      <x:c r="F34" s="26" t="str">
        <x:v>2026년 4분기</x:v>
      </x:c>
      <x:c r="G34" s="26" t="str">
        <x:v>국토부 홈페이지 내 대시보드 시범 후 연계·고도화</x:v>
      </x:c>
      <x:c r="H34" s="30"/>
      <x:c r="I34" s="30"/>
      <x:c r="J34" s="26" t="str">
        <x:v>서비스</x:v>
      </x:c>
      <x:c r="K34" s="26" t="str">
        <x:v>지도 중심 상황판</x:v>
      </x:c>
      <x:c r="L34" s="26" t="str">
        <x:v>정부 상황판과 역할 구분, 근거·예측 엔진 특화</x:v>
      </x:c>
      <x:c r="M34" s="26" t="str">
        <x:v>최상</x:v>
      </x:c>
      <x:c r="N34" s="26" t="str">
        <x:v>정부가 구상·추진 중인 서비스; 현재 가동 완료로 표기 금지</x:v>
      </x:c>
      <x:c r="O34" s="26" t="str">
        <x:v>https://m.korea.kr/news/policyNewsView.do?newsId=148973657</x:v>
      </x:c>
    </x:row>
    <x:row r="35" ht="46" customHeight="1">
      <x:c r="A35" s="26" t="str">
        <x:v>M30</x:v>
      </x:c>
      <x:c r="B35" s="26" t="str">
        <x:v>지역/시장</x:v>
      </x:c>
      <x:c r="C35" s="26" t="str">
        <x:v>서울 인허가 개선</x:v>
      </x:c>
      <x:c r="D35" s="26" t="str">
        <x:v>서울 주택공급 지표</x:v>
      </x:c>
      <x:c r="E35" s="26" t="str">
        <x:v>실적/전년대비</x:v>
      </x:c>
      <x:c r="F35" s="26" t="str">
        <x:v>2026.1~8/서울</x:v>
      </x:c>
      <x:c r="G35" s="26" t="str">
        <x:v>서울 주택 인허가 4만호, 전년 동기 대비 40% 증가</x:v>
      </x:c>
      <x:c r="H35" s="30" t="n">
        <x:v>40000</x:v>
      </x:c>
      <x:c r="I35" s="30"/>
      <x:c r="J35" s="26" t="str">
        <x:v>호</x:v>
      </x:c>
      <x:c r="K35" s="26" t="str">
        <x:v>지역별 공급 선행지표</x:v>
      </x:c>
      <x:c r="L35" s="26" t="str">
        <x:v>공급 사이클(허가→착공) 분석</x:v>
      </x:c>
      <x:c r="M35" s="26" t="str">
        <x:v>높음</x:v>
      </x:c>
      <x:c r="N35" s="26" t="str">
        <x:v>증가율 +40%, 호수 4만을 별도 속성으로 저장</x:v>
      </x:c>
      <x:c r="O35" s="26" t="str">
        <x:v>https://m.korea.kr/briefing/policyBriefingView.do?newsId=156785506</x:v>
      </x:c>
    </x:row>
    <x:row r="36" ht="46" customHeight="1">
      <x:c r="A36" s="26" t="str">
        <x:v>M31</x:v>
      </x:c>
      <x:c r="B36" s="26" t="str">
        <x:v>지역/시장</x:v>
      </x:c>
      <x:c r="C36" s="26" t="str">
        <x:v>서울 착공 개선</x:v>
      </x:c>
      <x:c r="D36" s="26" t="str">
        <x:v>서울 주택공급 지표</x:v>
      </x:c>
      <x:c r="E36" s="26" t="str">
        <x:v>실적/전년대비</x:v>
      </x:c>
      <x:c r="F36" s="26" t="str">
        <x:v>2026.1~8/서울</x:v>
      </x:c>
      <x:c r="G36" s="26" t="str">
        <x:v>서울 주택 착공 21,000호, 전년 동기 대비 41% 증가</x:v>
      </x:c>
      <x:c r="H36" s="30" t="n">
        <x:v>21000</x:v>
      </x:c>
      <x:c r="I36" s="30"/>
      <x:c r="J36" s="26" t="str">
        <x:v>호</x:v>
      </x:c>
      <x:c r="K36" s="26" t="str">
        <x:v>지역별 착공 KPI</x:v>
      </x:c>
      <x:c r="L36" s="26" t="str">
        <x:v>전년대비 증감률·기간동기 비교</x:v>
      </x:c>
      <x:c r="M36" s="26" t="str">
        <x:v>높음</x:v>
      </x:c>
      <x:c r="N36" s="26" t="str">
        <x:v>2026.10 둘째주 수도권 착공과 기준기간 차이</x:v>
      </x:c>
      <x:c r="O36" s="26" t="str">
        <x:v>https://m.korea.kr/briefing/policyBriefingView.do?newsId=156785506</x:v>
      </x:c>
    </x:row>
    <x:row r="37" ht="46" customHeight="1">
      <x:c r="A37" s="26" t="str">
        <x:v>M32</x:v>
      </x:c>
      <x:c r="B37" s="26" t="str">
        <x:v>지역/시장</x:v>
      </x:c>
      <x:c r="C37" s="26" t="str">
        <x:v>서울 소규모 일반주택 인허가</x:v>
      </x:c>
      <x:c r="D37" s="26" t="str">
        <x:v>도시형 생활주택 등</x:v>
      </x:c>
      <x:c r="E37" s="26" t="str">
        <x:v>전년동기 대비 증감률</x:v>
      </x:c>
      <x:c r="F37" s="26" t="str">
        <x:v>최근 6개월/서울</x:v>
      </x:c>
      <x:c r="G37" s="26" t="str">
        <x:v>일반주택 인허가 전년 동기 대비 84% 증가</x:v>
      </x:c>
      <x:c r="H37" s="30" t="n">
        <x:v>84</x:v>
      </x:c>
      <x:c r="I37" s="30"/>
      <x:c r="J37" s="26" t="str">
        <x:v>%</x:v>
      </x:c>
      <x:c r="K37" s="26" t="str">
        <x:v>일반주택 유형 확장</x:v>
      </x:c>
      <x:c r="L37" s="26" t="str">
        <x:v>시공유형별 전년비·수요변화</x:v>
      </x:c>
      <x:c r="M37" s="26" t="str">
        <x:v>보통</x:v>
      </x:c>
      <x:c r="N37" s="26" t="str">
        <x:v>정확한 최근 6개월 시작·종료일 별도 확인</x:v>
      </x:c>
      <x:c r="O37" s="26" t="str">
        <x:v>https://m.korea.kr/briefing/policyBriefingView.do?newsId=156785506</x:v>
      </x:c>
    </x:row>
    <x:row r="38" ht="46" customHeight="1">
      <x:c r="A38" s="26" t="str">
        <x:v>M33</x:v>
      </x:c>
      <x:c r="B38" s="26" t="str">
        <x:v>지역/시장</x:v>
      </x:c>
      <x:c r="C38" s="26" t="str">
        <x:v>서울 소규모 일반주택 착공</x:v>
      </x:c>
      <x:c r="D38" s="26" t="str">
        <x:v>도시형 생활주택 등</x:v>
      </x:c>
      <x:c r="E38" s="26" t="str">
        <x:v>전년동기 대비 증감률</x:v>
      </x:c>
      <x:c r="F38" s="26" t="str">
        <x:v>최근 6개월/서울</x:v>
      </x:c>
      <x:c r="G38" s="26" t="str">
        <x:v>일반주택 착공 전년 동기 대비 87% 증가</x:v>
      </x:c>
      <x:c r="H38" s="30" t="n">
        <x:v>87</x:v>
      </x:c>
      <x:c r="I38" s="30"/>
      <x:c r="J38" s="26" t="str">
        <x:v>%</x:v>
      </x:c>
      <x:c r="K38" s="26" t="str">
        <x:v>일반주택 유형 확장</x:v>
      </x:c>
      <x:c r="L38" s="26" t="str">
        <x:v>시공유형별 실제 입주 예상시기</x:v>
      </x:c>
      <x:c r="M38" s="26" t="str">
        <x:v>보통</x:v>
      </x:c>
      <x:c r="N38" s="26" t="str">
        <x:v>전체 서울 착공 +41%와 분모가 다름</x:v>
      </x:c>
      <x:c r="O38" s="26" t="str">
        <x:v>https://m.korea.kr/briefing/policyBriefingView.do?newsId=156785506</x:v>
      </x:c>
    </x:row>
    <x:row r="39" ht="46" customHeight="1">
      <x:c r="A39" s="26" t="str">
        <x:v>M34</x:v>
      </x:c>
      <x:c r="B39" s="26" t="str">
        <x:v>지역/시장</x:v>
      </x:c>
      <x:c r="C39" s="26" t="str">
        <x:v>주택 매매 소비심리</x:v>
      </x:c>
      <x:c r="D39" s="26" t="str">
        <x:v>시장동향</x:v>
      </x:c>
      <x:c r="E39" s="26" t="str">
        <x:v>관측</x:v>
      </x:c>
      <x:c r="F39" s="26" t="str">
        <x:v>2026.8→9/서울</x:v>
      </x:c>
      <x:c r="G39" s="26" t="str">
        <x:v>주택 매매시장 소비심리지수 132.5→130.8</x:v>
      </x:c>
      <x:c r="H39" s="30" t="n">
        <x:v>132.5</x:v>
      </x:c>
      <x:c r="I39" s="30" t="n">
        <x:v>130.8</x:v>
      </x:c>
      <x:c r="J39" s="26" t="str">
        <x:v>지수</x:v>
      </x:c>
      <x:c r="K39" s="26" t="str">
        <x:v>시장 반응 모니터링</x:v>
      </x:c>
      <x:c r="L39" s="26" t="str">
        <x:v>공급진행률과 시차·상관 시각화</x:v>
      </x:c>
      <x:c r="M39" s="26" t="str">
        <x:v>보통</x:v>
      </x:c>
      <x:c r="N39" s="26" t="str">
        <x:v>시장 안정 기여 인과로 단정 금지</x:v>
      </x:c>
      <x:c r="O39" s="26" t="str">
        <x:v>https://m.korea.kr/briefing/policyBriefingView.do?newsId=156785506</x:v>
      </x:c>
    </x:row>
    <x:row r="40" ht="46" customHeight="1">
      <x:c r="A40" s="26" t="str">
        <x:v>M35</x:v>
      </x:c>
      <x:c r="B40" s="26" t="str">
        <x:v>정책</x:v>
      </x:c>
      <x:c r="C40" s="26" t="str">
        <x:v>보편형 공공임대 추진</x:v>
      </x:c>
      <x:c r="D40" s="26" t="str">
        <x:v>장기 공공임대</x:v>
      </x:c>
      <x:c r="E40" s="26" t="str">
        <x:v>계획</x:v>
      </x:c>
      <x:c r="F40" s="26" t="str">
        <x:v>2030년까지</x:v>
      </x:c>
      <x:c r="G40" s="26" t="str">
        <x:v>보편형 공공임대 190,000호 공급 추진</x:v>
      </x:c>
      <x:c r="H40" s="30" t="n">
        <x:v>190000</x:v>
      </x:c>
      <x:c r="I40" s="30"/>
      <x:c r="J40" s="26" t="str">
        <x:v>호</x:v>
      </x:c>
      <x:c r="K40" s="26" t="str">
        <x:v>신규 정책편입</x:v>
      </x:c>
      <x:c r="L40" s="26" t="str">
        <x:v>공급 정의·재원·정기계획 업데이트</x:v>
      </x:c>
      <x:c r="M40" s="26" t="str">
        <x:v>보통</x:v>
      </x:c>
      <x:c r="N40" s="26" t="str">
        <x:v>착공 목표와 시계열 별도</x:v>
      </x:c>
      <x:c r="O40" s="26" t="str">
        <x:v>https://m.korea.kr/briefing/policyBriefingView.do?newsId=156785506</x:v>
      </x:c>
    </x:row>
    <x:row r="41" ht="46" customHeight="1">
      <x:c r="A41" s="26" t="str">
        <x:v>M36</x:v>
      </x:c>
      <x:c r="B41" s="26" t="str">
        <x:v>정책</x:v>
      </x:c>
      <x:c r="C41" s="26" t="str">
        <x:v>장기 민간임대 생태계</x:v>
      </x:c>
      <x:c r="D41" s="26" t="str">
        <x:v>민간임대</x:v>
      </x:c>
      <x:c r="E41" s="26" t="str">
        <x:v>제도 추진</x:v>
      </x:c>
      <x:c r="F41" s="26" t="str">
        <x:v>향후</x:v>
      </x:c>
      <x:c r="G41" s="26" t="str">
        <x:v>20년 장기 민간임대 도입·지원 추진</x:v>
      </x:c>
      <x:c r="H41" s="30" t="n">
        <x:v>20</x:v>
      </x:c>
      <x:c r="I41" s="30"/>
      <x:c r="J41" s="26" t="str">
        <x:v>년</x:v>
      </x:c>
      <x:c r="K41" s="26" t="str">
        <x:v>정책·제도 트랙</x:v>
      </x:c>
      <x:c r="L41" s="26" t="str">
        <x:v>제도완료 vs 실제 임대 공급 구분</x:v>
      </x:c>
      <x:c r="M41" s="26" t="str">
        <x:v>보통</x:v>
      </x:c>
      <x:c r="N41" s="26" t="str">
        <x:v>20은 임대 기간이지 공급 호수</x:v>
      </x:c>
      <x:c r="O41" s="26" t="str">
        <x:v>https://m.korea.kr/briefing/policyBriefingView.do?newsId=156785506</x:v>
      </x:c>
    </x:row>
    <x:row r="42" ht="46" customHeight="1">
      <x:c r="A42" s="26" t="str">
        <x:v>M37</x:v>
      </x:c>
      <x:c r="B42" s="26" t="str">
        <x:v>운영</x:v>
      </x:c>
      <x:c r="C42" s="26" t="str">
        <x:v>연말 집중 착공 리스크</x:v>
      </x:c>
      <x:c r="D42" s="26" t="str">
        <x:v>주택공급 전반</x:v>
      </x:c>
      <x:c r="E42" s="26" t="str">
        <x:v>언론 Q&amp;A</x:v>
      </x:c>
      <x:c r="F42" s="26" t="str">
        <x:v>2026년 4분기</x:v>
      </x:c>
      <x:c r="G42" s="26" t="str">
        <x:v>연말 착공 집중을 정부가 인정; 향후 연중 분산 개선 방침</x:v>
      </x:c>
      <x:c r="H42" s="30"/>
      <x:c r="I42" s="30"/>
      <x:c r="J42" s="26" t="str">
        <x:v>위험</x:v>
      </x:c>
      <x:c r="K42" s="26" t="str">
        <x:v>이상징후·경보</x:v>
      </x:c>
      <x:c r="L42" s="26" t="str">
        <x:v>착공 예정 Q4 집중도·선행 인허가 미완료 건</x:v>
      </x:c>
      <x:c r="M42" s="26" t="str">
        <x:v>최상</x:v>
      </x:c>
      <x:c r="N42" s="26" t="str">
        <x:v>공표된 사업별 상세예정 리스트 없이는 달성 가능성 판단 불가</x:v>
      </x:c>
      <x:c r="O42" s="26" t="str">
        <x:v>https://m.korea.kr/briefing/policyBriefingView.do?newsId=156785506</x:v>
      </x:c>
    </x:row>
  </x:sheetData>
  <x:mergeCells>
    <x:mergeCell ref="A1:O2"/>
    <x:mergeCell ref="A3:O3"/>
  </x:mergeCells>
  <x:conditionalFormatting sqref="M6:M42">
    <x:cfRule type="expression" dxfId="0" priority="1">
      <x:formula>$M6="최상"</x:formula>
    </x:cfRule>
    <x:cfRule type="expression" dxfId="1" priority="2">
      <x:formula>$M6="높음"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db88fb7bea4a5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0" hidden="0" customWidth="1"/>
    <x:col min="3" max="3" width="23" hidden="0" customWidth="1"/>
    <x:col min="4" max="4" width="17" hidden="0" customWidth="1"/>
    <x:col min="5" max="5" width="12" hidden="0" customWidth="1"/>
    <x:col min="6" max="6" width="14" hidden="0" customWidth="1"/>
    <x:col min="7" max="7" width="8" hidden="0" customWidth="1"/>
    <x:col min="8" max="8" width="28" hidden="0" customWidth="1"/>
    <x:col min="9" max="9" width="36" hidden="0" customWidth="1"/>
    <x:col min="10" max="10" width="35" hidden="0" customWidth="1"/>
    <x:col min="11" max="11" width="16" hidden="0" customWidth="1"/>
    <x:col min="12" max="12" width="16" hidden="0" customWidth="1"/>
    <x:col min="13" max="13" width="42" hidden="0" customWidth="1"/>
    <x:col min="14" max="14" width="55" hidden="0" customWidth="1"/>
    <x:col min="15" max="15" width="65" hidden="0" customWidth="1"/>
  </x:cols>
  <x:sheetData>
    <x:row r="1" ht="25" customHeight="1">
      <x:c r="A1" s="4" t="str">
        <x:v>사업지별 착공·분양·입주 연결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32" customHeight="1">
      <x:c r="A3" s="11" t="str">
        <x:v>지구 단위 발표 사례 | 같은 지구가 여러 공급단계에 중복 등장하므로 블록ID와 실제 일정을 확보하기 전 합산·동일물량 처리 금지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5" ht="34" customHeight="1">
      <x:c r="A5" s="19" t="str">
        <x:v>번호</x:v>
      </x:c>
      <x:c r="B5" s="19" t="str">
        <x:v>지구·사업명</x:v>
      </x:c>
      <x:c r="C5" s="19" t="str">
        <x:v>공급 프로그램</x:v>
      </x:c>
      <x:c r="D5" s="19" t="str">
        <x:v>단계</x:v>
      </x:c>
      <x:c r="E5" s="19" t="str">
        <x:v>발표 상태</x:v>
      </x:c>
      <x:c r="F5" s="19" t="str">
        <x:v>발표물량</x:v>
      </x:c>
      <x:c r="G5" s="19" t="str">
        <x:v>단위</x:v>
      </x:c>
      <x:c r="H5" s="19" t="str">
        <x:v>발표 기준 기간</x:v>
      </x:c>
      <x:c r="I5" s="19" t="str">
        <x:v>상위 집계 포함관계</x:v>
      </x:c>
      <x:c r="J5" s="19" t="str">
        <x:v>식별 정밀도</x:v>
      </x:c>
      <x:c r="K5" s="19" t="str">
        <x:v>당초 예정일</x:v>
      </x:c>
      <x:c r="L5" s="19" t="str">
        <x:v>실제 이행일</x:v>
      </x:c>
      <x:c r="M5" s="19" t="str">
        <x:v>필수 추가 수집</x:v>
      </x:c>
      <x:c r="N5" s="19" t="str">
        <x:v>검증 메모</x:v>
      </x:c>
      <x:c r="O5" s="19" t="str">
        <x:v>공식 속기 URL</x:v>
      </x:c>
    </x:row>
    <x:row r="6" ht="46" customHeight="1">
      <x:c r="A6" s="26" t="str">
        <x:v>S01</x:v>
      </x:c>
      <x:c r="B6" s="26" t="str">
        <x:v>고양창릉</x:v>
      </x:c>
      <x:c r="C6" s="26" t="str">
        <x:v>3기 신도시/공공주택</x:v>
      </x:c>
      <x:c r="D6" s="26" t="str">
        <x:v>착공</x:v>
      </x:c>
      <x:c r="E6" s="26" t="str">
        <x:v>실적</x:v>
      </x:c>
      <x:c r="F6" s="32" t="n">
        <x:v>2300</x:v>
      </x:c>
      <x:c r="G6" s="26" t="str">
        <x:v>호</x:v>
      </x:c>
      <x:c r="H6" s="26" t="str">
        <x:v>2026년 10월 둘째 주까지</x:v>
      </x:c>
      <x:c r="I6" s="26" t="str">
        <x:v>공공주택 1.62만/3기 신도시 7,300 포함</x:v>
      </x:c>
      <x:c r="J6" s="26" t="str">
        <x:v>지구 단계까지만 확인(블록별 ID 미공표)</x:v>
      </x:c>
      <x:c r="K6" s="26" t="str">
        <x:v>미확인</x:v>
      </x:c>
      <x:c r="L6" s="26" t="str">
        <x:v>미확인</x:v>
      </x:c>
      <x:c r="M6" s="26" t="str">
        <x:v>사업ID·블록ID, 예정일·실제일, 좌표/경계폴리곤</x:v>
      </x:c>
      <x:c r="N6" s="26" t="str">
        <x:v>같은 지구의 4분기 분양 1,100호와 별도 단계·블록 대사</x:v>
      </x:c>
      <x:c r="O6" s="26" t="str">
        <x:v>https://m.korea.kr/briefing/policyBriefingView.do?newsId=156785506</x:v>
      </x:c>
    </x:row>
    <x:row r="7" ht="46" customHeight="1">
      <x:c r="A7" s="26" t="str">
        <x:v>S02</x:v>
      </x:c>
      <x:c r="B7" s="26" t="str">
        <x:v>인천계양</x:v>
      </x:c>
      <x:c r="C7" s="26" t="str">
        <x:v>3기 신도시/공공주택</x:v>
      </x:c>
      <x:c r="D7" s="26" t="str">
        <x:v>착공</x:v>
      </x:c>
      <x:c r="E7" s="26" t="str">
        <x:v>실적</x:v>
      </x:c>
      <x:c r="F7" s="32" t="n">
        <x:v>2300</x:v>
      </x:c>
      <x:c r="G7" s="26" t="str">
        <x:v>호</x:v>
      </x:c>
      <x:c r="H7" s="26" t="str">
        <x:v>2026년 10월 둘째 주까지</x:v>
      </x:c>
      <x:c r="I7" s="26" t="str">
        <x:v>공공주택 1.62만/3기 신도시 7,300 포함</x:v>
      </x:c>
      <x:c r="J7" s="26" t="str">
        <x:v>지구 단계까지만 확인(블록별 ID 미공표)</x:v>
      </x:c>
      <x:c r="K7" s="26" t="str">
        <x:v>미확인</x:v>
      </x:c>
      <x:c r="L7" s="26" t="str">
        <x:v>미확인</x:v>
      </x:c>
      <x:c r="M7" s="26" t="str">
        <x:v>사업ID·블록ID, 예정일·실제일, 좌표/경계폴리곤</x:v>
      </x:c>
      <x:c r="N7" s="26" t="str">
        <x:v>2026년 12월 입주 계획과 동일 물량으로 단정 불가</x:v>
      </x:c>
      <x:c r="O7" s="26" t="str">
        <x:v>https://m.korea.kr/briefing/policyBriefingView.do?newsId=156785506</x:v>
      </x:c>
    </x:row>
    <x:row r="8" ht="46" customHeight="1">
      <x:c r="A8" s="26" t="str">
        <x:v>S03</x:v>
      </x:c>
      <x:c r="B8" s="26" t="str">
        <x:v>하남교산</x:v>
      </x:c>
      <x:c r="C8" s="26" t="str">
        <x:v>3기 신도시/공공주택</x:v>
      </x:c>
      <x:c r="D8" s="26" t="str">
        <x:v>착공</x:v>
      </x:c>
      <x:c r="E8" s="26" t="str">
        <x:v>실적</x:v>
      </x:c>
      <x:c r="F8" s="32" t="n">
        <x:v>1100</x:v>
      </x:c>
      <x:c r="G8" s="26" t="str">
        <x:v>호</x:v>
      </x:c>
      <x:c r="H8" s="26" t="str">
        <x:v>2026년 10월 둘째 주까지</x:v>
      </x:c>
      <x:c r="I8" s="26" t="str">
        <x:v>3기 신도시 7,300 포함</x:v>
      </x:c>
      <x:c r="J8" s="26" t="str">
        <x:v>지구 단계까지만 확인(블록별 ID 미공표)</x:v>
      </x:c>
      <x:c r="K8" s="26" t="str">
        <x:v>미확인</x:v>
      </x:c>
      <x:c r="L8" s="26" t="str">
        <x:v>미확인</x:v>
      </x:c>
      <x:c r="M8" s="26" t="str">
        <x:v>사업ID·블록ID, 예정일·실제일, 좌표/경계폴리곤</x:v>
      </x:c>
      <x:c r="N8" s="26" t="str">
        <x:v>블록·주택유형 원자료 확보 필요</x:v>
      </x:c>
      <x:c r="O8" s="26" t="str">
        <x:v>https://m.korea.kr/briefing/policyBriefingView.do?newsId=156785506</x:v>
      </x:c>
    </x:row>
    <x:row r="9" ht="46" customHeight="1">
      <x:c r="A9" s="26" t="str">
        <x:v>S04</x:v>
      </x:c>
      <x:c r="B9" s="26" t="str">
        <x:v>남양주왕숙2</x:v>
      </x:c>
      <x:c r="C9" s="26" t="str">
        <x:v>3기 신도시/공공주택</x:v>
      </x:c>
      <x:c r="D9" s="26" t="str">
        <x:v>착공</x:v>
      </x:c>
      <x:c r="E9" s="26" t="str">
        <x:v>실적</x:v>
      </x:c>
      <x:c r="F9" s="32" t="n">
        <x:v>1100</x:v>
      </x:c>
      <x:c r="G9" s="26" t="str">
        <x:v>호</x:v>
      </x:c>
      <x:c r="H9" s="26" t="str">
        <x:v>2026년 10월 둘째 주까지</x:v>
      </x:c>
      <x:c r="I9" s="26" t="str">
        <x:v>3기 신도시 7,300 포함</x:v>
      </x:c>
      <x:c r="J9" s="26" t="str">
        <x:v>지구 단계까지만 확인(블록별 ID 미공표)</x:v>
      </x:c>
      <x:c r="K9" s="26" t="str">
        <x:v>미확인</x:v>
      </x:c>
      <x:c r="L9" s="26" t="str">
        <x:v>미확인</x:v>
      </x:c>
      <x:c r="M9" s="26" t="str">
        <x:v>사업ID·블록ID, 예정일·실제일, 좌표/경계폴리곤</x:v>
      </x:c>
      <x:c r="N9" s="26" t="str">
        <x:v>4분기 분양 계획상 '남양주왕숙'과 구분</x:v>
      </x:c>
      <x:c r="O9" s="26" t="str">
        <x:v>https://m.korea.kr/briefing/policyBriefingView.do?newsId=156785506</x:v>
      </x:c>
    </x:row>
    <x:row r="10" ht="46" customHeight="1">
      <x:c r="A10" s="26" t="str">
        <x:v>S05</x:v>
      </x:c>
      <x:c r="B10" s="26" t="str">
        <x:v>중계본동</x:v>
      </x:c>
      <x:c r="C10" s="26" t="str">
        <x:v>민간 정비사업</x:v>
      </x:c>
      <x:c r="D10" s="26" t="str">
        <x:v>착공</x:v>
      </x:c>
      <x:c r="E10" s="26" t="str">
        <x:v>실적</x:v>
      </x:c>
      <x:c r="F10" s="32" t="n">
        <x:v>3100</x:v>
      </x:c>
      <x:c r="G10" s="26" t="str">
        <x:v>호</x:v>
      </x:c>
      <x:c r="H10" s="26" t="str">
        <x:v>2026년 10월 둘째 주까지</x:v>
      </x:c>
      <x:c r="I10" s="26" t="str">
        <x:v>민간정비 1.7만 포함</x:v>
      </x:c>
      <x:c r="J10" s="26" t="str">
        <x:v>지구 단계까지만 확인(블록별 ID 미공표)</x:v>
      </x:c>
      <x:c r="K10" s="26" t="str">
        <x:v>미확인</x:v>
      </x:c>
      <x:c r="L10" s="26" t="str">
        <x:v>미확인</x:v>
      </x:c>
      <x:c r="M10" s="26" t="str">
        <x:v>사업ID·블록ID, 예정일·실제일, 좌표/경계폴리곤</x:v>
      </x:c>
      <x:c r="N10" s="26" t="str">
        <x:v>'약' 표기: 구두 발표</x:v>
      </x:c>
      <x:c r="O10" s="26" t="str">
        <x:v>https://m.korea.kr/briefing/policyBriefingView.do?newsId=156785506</x:v>
      </x:c>
    </x:row>
    <x:row r="11" ht="46" customHeight="1">
      <x:c r="A11" s="26" t="str">
        <x:v>S06</x:v>
      </x:c>
      <x:c r="B11" s="26" t="str">
        <x:v>흑석11구역</x:v>
      </x:c>
      <x:c r="C11" s="26" t="str">
        <x:v>민간 정비사업</x:v>
      </x:c>
      <x:c r="D11" s="26" t="str">
        <x:v>착공</x:v>
      </x:c>
      <x:c r="E11" s="26" t="str">
        <x:v>실적</x:v>
      </x:c>
      <x:c r="F11" s="32" t="n">
        <x:v>2500</x:v>
      </x:c>
      <x:c r="G11" s="26" t="str">
        <x:v>호</x:v>
      </x:c>
      <x:c r="H11" s="26" t="str">
        <x:v>2026년 10월 둘째 주까지</x:v>
      </x:c>
      <x:c r="I11" s="26" t="str">
        <x:v>민간정비 1.7만 포함</x:v>
      </x:c>
      <x:c r="J11" s="26" t="str">
        <x:v>지구 단계까지만 확인(블록별 ID 미공표)</x:v>
      </x:c>
      <x:c r="K11" s="26" t="str">
        <x:v>미확인</x:v>
      </x:c>
      <x:c r="L11" s="26" t="str">
        <x:v>미확인</x:v>
      </x:c>
      <x:c r="M11" s="26" t="str">
        <x:v>사업ID·블록ID, 예정일·실제일, 좌표/경계폴리곤</x:v>
      </x:c>
      <x:c r="N11" s="26" t="str">
        <x:v>사업계획/관리처분/준공 계획 추가 수집</x:v>
      </x:c>
      <x:c r="O11" s="26" t="str">
        <x:v>https://m.korea.kr/briefing/policyBriefingView.do?newsId=156785506</x:v>
      </x:c>
    </x:row>
    <x:row r="12" ht="46" customHeight="1">
      <x:c r="A12" s="26" t="str">
        <x:v>S07</x:v>
      </x:c>
      <x:c r="B12" s="26" t="str">
        <x:v>신림2구역</x:v>
      </x:c>
      <x:c r="C12" s="26" t="str">
        <x:v>민간 정비사업</x:v>
      </x:c>
      <x:c r="D12" s="26" t="str">
        <x:v>착공</x:v>
      </x:c>
      <x:c r="E12" s="26" t="str">
        <x:v>실적</x:v>
      </x:c>
      <x:c r="F12" s="32" t="n">
        <x:v>1400</x:v>
      </x:c>
      <x:c r="G12" s="26" t="str">
        <x:v>호</x:v>
      </x:c>
      <x:c r="H12" s="26" t="str">
        <x:v>2026년 10월 둘째 주까지</x:v>
      </x:c>
      <x:c r="I12" s="26" t="str">
        <x:v>민간정비 1.7만 포함</x:v>
      </x:c>
      <x:c r="J12" s="26" t="str">
        <x:v>지구 단계까지만 확인(블록별 ID 미공표)</x:v>
      </x:c>
      <x:c r="K12" s="26" t="str">
        <x:v>미확인</x:v>
      </x:c>
      <x:c r="L12" s="26" t="str">
        <x:v>미확인</x:v>
      </x:c>
      <x:c r="M12" s="26" t="str">
        <x:v>사업ID·블록ID, 예정일·실제일, 좌표/경계폴리곤</x:v>
      </x:c>
      <x:c r="N12" s="26" t="str">
        <x:v>사업계획/관리처분/준공 계획 추가 수집</x:v>
      </x:c>
      <x:c r="O12" s="26" t="str">
        <x:v>https://m.korea.kr/briefing/policyBriefingView.do?newsId=156785506</x:v>
      </x:c>
    </x:row>
    <x:row r="13" ht="46" customHeight="1">
      <x:c r="A13" s="26" t="str">
        <x:v>S08</x:v>
      </x:c>
      <x:c r="B13" s="26" t="str">
        <x:v>고양창릉</x:v>
      </x:c>
      <x:c r="C13" s="26" t="str">
        <x:v>3기 신도시/공공분양</x:v>
      </x:c>
      <x:c r="D13" s="26" t="str">
        <x:v>분양공고</x:v>
      </x:c>
      <x:c r="E13" s="26" t="str">
        <x:v>계획</x:v>
      </x:c>
      <x:c r="F13" s="32" t="n">
        <x:v>1100</x:v>
      </x:c>
      <x:c r="G13" s="26" t="str">
        <x:v>호</x:v>
      </x:c>
      <x:c r="H13" s="26" t="str">
        <x:v>2026년 4분기</x:v>
      </x:c>
      <x:c r="I13" s="26" t="str">
        <x:v>4분기 3기 분양 약 2천 중 일부</x:v>
      </x:c>
      <x:c r="J13" s="26" t="str">
        <x:v>지구 단계까지만 확인(블록별 ID 미공표)</x:v>
      </x:c>
      <x:c r="K13" s="26" t="str">
        <x:v>미확인</x:v>
      </x:c>
      <x:c r="L13" s="26" t="str">
        <x:v>미확인</x:v>
      </x:c>
      <x:c r="M13" s="26" t="str">
        <x:v>사업ID·블록ID, 예정일·실제일, 좌표/경계폴리곤</x:v>
      </x:c>
      <x:c r="N13" s="26" t="str">
        <x:v>착공 실적 2,300호와 동일 배정으로 계산하지 말 것</x:v>
      </x:c>
      <x:c r="O13" s="26" t="str">
        <x:v>https://m.korea.kr/briefing/policyBriefingView.do?newsId=156785506</x:v>
      </x:c>
    </x:row>
    <x:row r="14" ht="46" customHeight="1">
      <x:c r="A14" s="26" t="str">
        <x:v>S09</x:v>
      </x:c>
      <x:c r="B14" s="26" t="str">
        <x:v>부천대장</x:v>
      </x:c>
      <x:c r="C14" s="26" t="str">
        <x:v>3기 신도시/공공분양</x:v>
      </x:c>
      <x:c r="D14" s="26" t="str">
        <x:v>분양공고</x:v>
      </x:c>
      <x:c r="E14" s="26" t="str">
        <x:v>계획</x:v>
      </x:c>
      <x:c r="F14" s="32" t="n">
        <x:v>500</x:v>
      </x:c>
      <x:c r="G14" s="26" t="str">
        <x:v>호</x:v>
      </x:c>
      <x:c r="H14" s="26" t="str">
        <x:v>2026년 4분기</x:v>
      </x:c>
      <x:c r="I14" s="26" t="str">
        <x:v>4분기 3기 분양 약 2천 중 일부</x:v>
      </x:c>
      <x:c r="J14" s="26" t="str">
        <x:v>지구 단계까지만 확인(블록별 ID 미공표)</x:v>
      </x:c>
      <x:c r="K14" s="26" t="str">
        <x:v>미확인</x:v>
      </x:c>
      <x:c r="L14" s="26" t="str">
        <x:v>미확인</x:v>
      </x:c>
      <x:c r="M14" s="26" t="str">
        <x:v>사업ID·블록ID, 예정일·실제일, 좌표/경계폴리곤</x:v>
      </x:c>
      <x:c r="N14" s="26" t="str">
        <x:v>2027년 입주 계획 별도 트랙</x:v>
      </x:c>
      <x:c r="O14" s="26" t="str">
        <x:v>https://m.korea.kr/briefing/policyBriefingView.do?newsId=156785506</x:v>
      </x:c>
    </x:row>
    <x:row r="15" ht="46" customHeight="1">
      <x:c r="A15" s="26" t="str">
        <x:v>S10</x:v>
      </x:c>
      <x:c r="B15" s="26" t="str">
        <x:v>남양주왕숙</x:v>
      </x:c>
      <x:c r="C15" s="26" t="str">
        <x:v>3기 신도시/공공분양</x:v>
      </x:c>
      <x:c r="D15" s="26" t="str">
        <x:v>분양공고</x:v>
      </x:c>
      <x:c r="E15" s="26" t="str">
        <x:v>계획</x:v>
      </x:c>
      <x:c r="F15" s="32" t="n">
        <x:v>400</x:v>
      </x:c>
      <x:c r="G15" s="26" t="str">
        <x:v>호</x:v>
      </x:c>
      <x:c r="H15" s="26" t="str">
        <x:v>2026년 4분기</x:v>
      </x:c>
      <x:c r="I15" s="26" t="str">
        <x:v>4분기 3기 분양 약 2천 중 일부</x:v>
      </x:c>
      <x:c r="J15" s="26" t="str">
        <x:v>지구 단계까지만 확인(블록별 ID 미공표)</x:v>
      </x:c>
      <x:c r="K15" s="26" t="str">
        <x:v>미확인</x:v>
      </x:c>
      <x:c r="L15" s="26" t="str">
        <x:v>미확인</x:v>
      </x:c>
      <x:c r="M15" s="26" t="str">
        <x:v>사업ID·블록ID, 예정일·실제일, 좌표/경계폴리곤</x:v>
      </x:c>
      <x:c r="N15" s="26" t="str">
        <x:v>남양주왕숙2 착공과 공통 사업ID 사용 전 관계 검증</x:v>
      </x:c>
      <x:c r="O15" s="26" t="str">
        <x:v>https://m.korea.kr/briefing/policyBriefingView.do?newsId=156785506</x:v>
      </x:c>
    </x:row>
    <x:row r="16" ht="46" customHeight="1">
      <x:c r="A16" s="26" t="str">
        <x:v>S11</x:v>
      </x:c>
      <x:c r="B16" s="26" t="str">
        <x:v>고덕강일</x:v>
      </x:c>
      <x:c r="C16" s="26" t="str">
        <x:v>서울 공공분양</x:v>
      </x:c>
      <x:c r="D16" s="26" t="str">
        <x:v>분양공고</x:v>
      </x:c>
      <x:c r="E16" s="26" t="str">
        <x:v>계획</x:v>
      </x:c>
      <x:c r="F16" s="32" t="n">
        <x:v>1300</x:v>
      </x:c>
      <x:c r="G16" s="26" t="str">
        <x:v>호</x:v>
      </x:c>
      <x:c r="H16" s="26" t="str">
        <x:v>2026년 4분기</x:v>
      </x:c>
      <x:c r="I16" s="26" t="str">
        <x:v>4분기 공공분양 1만 중 일부</x:v>
      </x:c>
      <x:c r="J16" s="26" t="str">
        <x:v>지구 단계까지만 확인(블록별 ID 미공표)</x:v>
      </x:c>
      <x:c r="K16" s="26" t="str">
        <x:v>미확인</x:v>
      </x:c>
      <x:c r="L16" s="26" t="str">
        <x:v>미확인</x:v>
      </x:c>
      <x:c r="M16" s="26" t="str">
        <x:v>사업ID·블록ID, 예정일·실제일, 좌표/경계폴리곤</x:v>
      </x:c>
      <x:c r="N16" s="26" t="str">
        <x:v>정확 블록/공고 예정일 미제시</x:v>
      </x:c>
      <x:c r="O16" s="26" t="str">
        <x:v>https://m.korea.kr/briefing/policyBriefingView.do?newsId=156785506</x:v>
      </x:c>
    </x:row>
    <x:row r="17" ht="46" customHeight="1">
      <x:c r="A17" s="26" t="str">
        <x:v>S12</x:v>
      </x:c>
      <x:c r="B17" s="26" t="str">
        <x:v>광교</x:v>
      </x:c>
      <x:c r="C17" s="26" t="str">
        <x:v>2기 신도시/공공분양</x:v>
      </x:c>
      <x:c r="D17" s="26" t="str">
        <x:v>분양공고</x:v>
      </x:c>
      <x:c r="E17" s="26" t="str">
        <x:v>계획</x:v>
      </x:c>
      <x:c r="F17" s="32" t="n">
        <x:v>600</x:v>
      </x:c>
      <x:c r="G17" s="26" t="str">
        <x:v>호</x:v>
      </x:c>
      <x:c r="H17" s="26" t="str">
        <x:v>2026년 4분기</x:v>
      </x:c>
      <x:c r="I17" s="26" t="str">
        <x:v>4분기 공공분양 1만 중 일부</x:v>
      </x:c>
      <x:c r="J17" s="26" t="str">
        <x:v>지구 단계까지만 확인(블록별 ID 미공표)</x:v>
      </x:c>
      <x:c r="K17" s="26" t="str">
        <x:v>미확인</x:v>
      </x:c>
      <x:c r="L17" s="26" t="str">
        <x:v>미확인</x:v>
      </x:c>
      <x:c r="M17" s="26" t="str">
        <x:v>사업ID·블록ID, 예정일·실제일, 좌표/경계폴리곤</x:v>
      </x:c>
      <x:c r="N17" s="26" t="str">
        <x:v>정확 블록/공고 예정일 미제시</x:v>
      </x:c>
      <x:c r="O17" s="26" t="str">
        <x:v>https://m.korea.kr/briefing/policyBriefingView.do?newsId=156785506</x:v>
      </x:c>
    </x:row>
    <x:row r="18" ht="46" customHeight="1">
      <x:c r="A18" s="26" t="str">
        <x:v>S13</x:v>
      </x:c>
      <x:c r="B18" s="26" t="str">
        <x:v>과천지식정보타운</x:v>
      </x:c>
      <x:c r="C18" s="26" t="str">
        <x:v>공공임대</x:v>
      </x:c>
      <x:c r="D18" s="26" t="str">
        <x:v>입주자 모집</x:v>
      </x:c>
      <x:c r="E18" s="26" t="str">
        <x:v>계획</x:v>
      </x:c>
      <x:c r="F18" s="32" t="n">
        <x:v>1400</x:v>
      </x:c>
      <x:c r="G18" s="26" t="str">
        <x:v>호</x:v>
      </x:c>
      <x:c r="H18" s="26" t="str">
        <x:v>2026년 4분기</x:v>
      </x:c>
      <x:c r="I18" s="26" t="str">
        <x:v>4분기 공공임대 5천 이상 일부</x:v>
      </x:c>
      <x:c r="J18" s="26" t="str">
        <x:v>지구 단계까지만 확인(블록별 ID 미공표)</x:v>
      </x:c>
      <x:c r="K18" s="26" t="str">
        <x:v>미확인</x:v>
      </x:c>
      <x:c r="L18" s="26" t="str">
        <x:v>미확인</x:v>
      </x:c>
      <x:c r="M18" s="26" t="str">
        <x:v>사업ID·블록ID, 예정일·실제일, 좌표/경계폴리곤</x:v>
      </x:c>
      <x:c r="N18" s="26" t="str">
        <x:v>분양공고가 아닌 임대 입주자 모집</x:v>
      </x:c>
      <x:c r="O18" s="26" t="str">
        <x:v>https://m.korea.kr/briefing/policyBriefingView.do?newsId=156785506</x:v>
      </x:c>
    </x:row>
    <x:row r="19" ht="46" customHeight="1">
      <x:c r="A19" s="26" t="str">
        <x:v>S14</x:v>
      </x:c>
      <x:c r="B19" s="26" t="str">
        <x:v>인천계양</x:v>
      </x:c>
      <x:c r="C19" s="26" t="str">
        <x:v>3기 신도시/공적주택</x:v>
      </x:c>
      <x:c r="D19" s="26" t="str">
        <x:v>입주 시작</x:v>
      </x:c>
      <x:c r="E19" s="26" t="str">
        <x:v>계획</x:v>
      </x:c>
      <x:c r="F19" s="32"/>
      <x:c r="G19" s="26" t="str">
        <x:v>—</x:v>
      </x:c>
      <x:c r="H19" s="26" t="str">
        <x:v>2026년 12월</x:v>
      </x:c>
      <x:c r="I19" s="26" t="str">
        <x:v>2026Q4~2027말 공적주택 입주 10만</x:v>
      </x:c>
      <x:c r="J19" s="26" t="str">
        <x:v>지구 단계까지만 확인(블록별 ID 미공표)</x:v>
      </x:c>
      <x:c r="K19" s="26" t="str">
        <x:v>미확인</x:v>
      </x:c>
      <x:c r="L19" s="26" t="str">
        <x:v>미확인</x:v>
      </x:c>
      <x:c r="M19" s="26" t="str">
        <x:v>사업ID·블록ID, 예정일·실제일, 좌표/경계폴리곤</x:v>
      </x:c>
      <x:c r="N19" s="26" t="str">
        <x:v>해당 입주구역의 실제 준공일·입주예정호수 확인</x:v>
      </x:c>
      <x:c r="O19" s="26" t="str">
        <x:v>https://m.korea.kr/briefing/policyBriefingView.do?newsId=156785506</x:v>
      </x:c>
    </x:row>
    <x:row r="20" ht="46" customHeight="1">
      <x:c r="A20" s="26" t="str">
        <x:v>S15</x:v>
      </x:c>
      <x:c r="B20" s="26" t="str">
        <x:v>고양창릉</x:v>
      </x:c>
      <x:c r="C20" s="26" t="str">
        <x:v>3기 신도시/공적주택</x:v>
      </x:c>
      <x:c r="D20" s="26" t="str">
        <x:v>입주 진행</x:v>
      </x:c>
      <x:c r="E20" s="26" t="str">
        <x:v>계획</x:v>
      </x:c>
      <x:c r="F20" s="32"/>
      <x:c r="G20" s="26" t="str">
        <x:v>—</x:v>
      </x:c>
      <x:c r="H20" s="26" t="str">
        <x:v>2027년</x:v>
      </x:c>
      <x:c r="I20" s="26" t="str">
        <x:v>2026Q4~2027말 공적주택 입주 10만</x:v>
      </x:c>
      <x:c r="J20" s="26" t="str">
        <x:v>지구 단계까지만 확인(블록별 ID 미공표)</x:v>
      </x:c>
      <x:c r="K20" s="26" t="str">
        <x:v>미확인</x:v>
      </x:c>
      <x:c r="L20" s="26" t="str">
        <x:v>미확인</x:v>
      </x:c>
      <x:c r="M20" s="26" t="str">
        <x:v>사업ID·블록ID, 예정일·실제일, 좌표/경계폴리곤</x:v>
      </x:c>
      <x:c r="N20" s="26" t="str">
        <x:v>지구단위 일정이므로 주택블록별 세대수 확인 필요</x:v>
      </x:c>
      <x:c r="O20" s="26" t="str">
        <x:v>https://m.korea.kr/briefing/policyBriefingView.do?newsId=156785506</x:v>
      </x:c>
    </x:row>
    <x:row r="21" ht="46" customHeight="1">
      <x:c r="A21" s="26" t="str">
        <x:v>S16</x:v>
      </x:c>
      <x:c r="B21" s="26" t="str">
        <x:v>부천대장</x:v>
      </x:c>
      <x:c r="C21" s="26" t="str">
        <x:v>3기 신도시/공적주택</x:v>
      </x:c>
      <x:c r="D21" s="26" t="str">
        <x:v>입주 진행</x:v>
      </x:c>
      <x:c r="E21" s="26" t="str">
        <x:v>계획</x:v>
      </x:c>
      <x:c r="F21" s="32"/>
      <x:c r="G21" s="26" t="str">
        <x:v>—</x:v>
      </x:c>
      <x:c r="H21" s="26" t="str">
        <x:v>2027년</x:v>
      </x:c>
      <x:c r="I21" s="26" t="str">
        <x:v>2026Q4~2027말 공적주택 입주 10만</x:v>
      </x:c>
      <x:c r="J21" s="26" t="str">
        <x:v>지구 단계까지만 확인(블록별 ID 미공표)</x:v>
      </x:c>
      <x:c r="K21" s="26" t="str">
        <x:v>미확인</x:v>
      </x:c>
      <x:c r="L21" s="26" t="str">
        <x:v>미확인</x:v>
      </x:c>
      <x:c r="M21" s="26" t="str">
        <x:v>사업ID·블록ID, 예정일·실제일, 좌표/경계폴리곤</x:v>
      </x:c>
      <x:c r="N21" s="26" t="str">
        <x:v>4분기 분양계획 물량과 동일 물량으로 추정 금지</x:v>
      </x:c>
      <x:c r="O21" s="26" t="str">
        <x:v>https://m.korea.kr/briefing/policyBriefingView.do?newsId=156785506</x:v>
      </x:c>
    </x:row>
  </x:sheetData>
  <x:mergeCells>
    <x:mergeCell ref="A1:O2"/>
    <x:mergeCell ref="A3:O3"/>
  </x:mergeCells>
  <x:conditionalFormatting sqref="D6:D21">
    <x:cfRule type="expression" dxfId="2" priority="1">
      <x:formula>$D6="착공"</x:formula>
    </x:cfRule>
    <x:cfRule type="expression" dxfId="3" priority="2">
      <x:formula>$D6="분양공고"</x:formula>
    </x:cfRule>
    <x:cfRule type="expression" dxfId="4" priority="3">
      <x:formula>$D6="입주자 모집"</x:formula>
    </x:cfRule>
    <x:cfRule type="expression" dxfId="5" priority="4">
      <x:formula>$D6="입주 시작"</x:formula>
    </x:cfRule>
    <x:cfRule type="expression" dxfId="6" priority="5">
      <x:formula>$D6="입주 진행"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c1892d70d6450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50" hidden="0" customWidth="1"/>
    <x:col min="3" max="3" width="13" hidden="0" customWidth="1"/>
    <x:col min="4" max="4" width="22" hidden="0" customWidth="1"/>
    <x:col min="5" max="5" width="26" hidden="0" customWidth="1"/>
    <x:col min="6" max="6" width="37" hidden="0" customWidth="1"/>
    <x:col min="7" max="7" width="70" hidden="0" customWidth="1"/>
    <x:col min="8" max="8" width="12" hidden="0" customWidth="1"/>
  </x:cols>
  <x:sheetData>
    <x:row r="1" ht="25" customHeight="1">
      <x:c r="A1" s="4" t="str">
        <x:v>성과지표 정의 · 데이터 설계 요건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32" customHeight="1">
      <x:c r="A3" s="11" t="str">
        <x:v>정례브리핑 발표지표를 정책·프로그램·사업 지도와 연결하기 위한 제안 지표 | 계산 전에 동일 대상범위·상태·기간 검증</x:v>
      </x:c>
      <x:c r="B3" s="11"/>
      <x:c r="C3" s="11"/>
      <x:c r="D3" s="11"/>
      <x:c r="E3" s="11"/>
      <x:c r="F3" s="11"/>
      <x:c r="G3" s="11"/>
      <x:c r="H3" s="11"/>
    </x:row>
    <x:row r="5" ht="34" customHeight="1">
      <x:c r="A5" s="19" t="str">
        <x:v>지표명</x:v>
      </x:c>
      <x:c r="B5" s="19" t="str">
        <x:v>계산식·정의</x:v>
      </x:c>
      <x:c r="C5" s="19" t="str">
        <x:v>단위</x:v>
      </x:c>
      <x:c r="D5" s="19" t="str">
        <x:v>집계 수준</x:v>
      </x:c>
      <x:c r="E5" s="19" t="str">
        <x:v>비교 기준</x:v>
      </x:c>
      <x:c r="F5" s="19" t="str">
        <x:v>활용 화면·판단</x:v>
      </x:c>
      <x:c r="G5" s="19" t="str">
        <x:v>데이터 품질·해석 유의</x:v>
      </x:c>
      <x:c r="H5" s="19" t="str">
        <x:v>우선도</x:v>
      </x:c>
    </x:row>
    <x:row r="6" ht="46" customHeight="1">
      <x:c r="A6" s="26" t="str">
        <x:v>착공 목표 달성률</x:v>
      </x:c>
      <x:c r="B6" s="26" t="str">
        <x:v>실제 착공 호수 / 동일 범위·연도 착공 목표 호수</x:v>
      </x:c>
      <x:c r="C6" s="26" t="str">
        <x:v>호/%</x:v>
      </x:c>
      <x:c r="D6" s="26" t="str">
        <x:v>정책·프로그램·지구</x:v>
      </x:c>
      <x:c r="E6" s="26" t="str">
        <x:v>동일 기간/대상 범위</x:v>
      </x:c>
      <x:c r="F6" s="26" t="str">
        <x:v>정책 KPI+지도 퍼널</x:v>
      </x:c>
      <x:c r="G6" s="26" t="str">
        <x:v>실적은 '이상' 발표 하한, 확정 집계 보완</x:v>
      </x:c>
      <x:c r="H6" s="26" t="str">
        <x:v>P0</x:v>
      </x:c>
    </x:row>
    <x:row r="7" ht="46" customHeight="1">
      <x:c r="A7" s="26" t="str">
        <x:v>연말 전망 달성률(하한·상한)</x:v>
      </x:c>
      <x:c r="B7" s="26" t="str">
        <x:v>연말 전망 최소·최대 착공 호수 / 연간 목표</x:v>
      </x:c>
      <x:c r="C7" s="26" t="str">
        <x:v>호/%</x:v>
      </x:c>
      <x:c r="D7" s="26" t="str">
        <x:v>정책·프로그램</x:v>
      </x:c>
      <x:c r="E7" s="26" t="str">
        <x:v>동일 연도 목표</x:v>
      </x:c>
      <x:c r="F7" s="26" t="str">
        <x:v>지도 기반 목표미달 리스크</x:v>
      </x:c>
      <x:c r="G7" s="26" t="str">
        <x:v>전망 수치는 실제 착공 실적과 절대 합산 금지</x:v>
      </x:c>
      <x:c r="H7" s="26" t="str">
        <x:v>P0</x:v>
      </x:c>
    </x:row>
    <x:row r="8" ht="46" customHeight="1">
      <x:c r="A8" s="26" t="str">
        <x:v>연말 필요 추가 착공</x:v>
      </x:c>
      <x:c r="B8" s="26" t="str">
        <x:v>연말 전망 호수 - 현시점 실착공 호수</x:v>
      </x:c>
      <x:c r="C8" s="26" t="str">
        <x:v>호</x:v>
      </x:c>
      <x:c r="D8" s="26" t="str">
        <x:v>정책·프로그램</x:v>
      </x:c>
      <x:c r="E8" s="26" t="str">
        <x:v>2026.10 2주~12.31</x:v>
      </x:c>
      <x:c r="F8" s="26" t="str">
        <x:v>착공해야 할 잔여 물량 지도</x:v>
      </x:c>
      <x:c r="G8" s="26" t="str">
        <x:v>보고시점 바뀌면 자동 재산출</x:v>
      </x:c>
      <x:c r="H8" s="26" t="str">
        <x:v>P0</x:v>
      </x:c>
    </x:row>
    <x:row r="9" ht="46" customHeight="1">
      <x:c r="A9" s="26" t="str">
        <x:v>사업별 달성 가능성</x:v>
      </x:c>
      <x:c r="B9" s="26" t="str">
        <x:v>예정 착공일 이전 핵심 선행조건 충족 비율</x:v>
      </x:c>
      <x:c r="C9" s="26" t="str">
        <x:v>건/%</x:v>
      </x:c>
      <x:c r="D9" s="26" t="str">
        <x:v>사업·블록</x:v>
      </x:c>
      <x:c r="E9" s="26" t="str">
        <x:v>향후 3개월</x:v>
      </x:c>
      <x:c r="F9" s="26" t="str">
        <x:v>위험지도/신호등</x:v>
      </x:c>
      <x:c r="G9" s="26" t="str">
        <x:v>필수 인허가·보상·PF 조건 정의 및 원천 확보 선행</x:v>
      </x:c>
      <x:c r="H9" s="26" t="str">
        <x:v>P0</x:v>
      </x:c>
    </x:row>
    <x:row r="10" ht="46" customHeight="1">
      <x:c r="A10" s="26" t="str">
        <x:v>프로그램·사업 중복 제거</x:v>
      </x:c>
      <x:c r="B10" s="26" t="str">
        <x:v>사업·블록 ID별 고유 물량으로 합산</x:v>
      </x:c>
      <x:c r="C10" s="26" t="str">
        <x:v>호</x:v>
      </x:c>
      <x:c r="D10" s="26" t="str">
        <x:v>전 계층</x:v>
      </x:c>
      <x:c r="E10" s="26" t="str">
        <x:v>항상</x:v>
      </x:c>
      <x:c r="F10" s="26" t="str">
        <x:v>정책 집계 데이터 품질</x:v>
      </x:c>
      <x:c r="G10" s="26" t="str">
        <x:v>3기 신도시는 공공주택 합계의 부분집합</x:v>
      </x:c>
      <x:c r="H10" s="26" t="str">
        <x:v>P0</x:v>
      </x:c>
    </x:row>
    <x:row r="11" ht="46" customHeight="1">
      <x:c r="A11" s="26" t="str">
        <x:v>정책 목표 버전관리</x:v>
      </x:c>
      <x:c r="B11" s="26" t="str">
        <x:v>정책별 발표일·유효일·목표 수정·포함정책 관계</x:v>
      </x:c>
      <x:c r="C11" s="26" t="str">
        <x:v>호/일</x:v>
      </x:c>
      <x:c r="D11" s="26" t="str">
        <x:v>정책</x:v>
      </x:c>
      <x:c r="E11" s="26" t="str">
        <x:v>2025 9.7→2026 8.13→10.16</x:v>
      </x:c>
      <x:c r="F11" s="26" t="str">
        <x:v>목표 변화 타임라인</x:v>
      </x:c>
      <x:c r="G11" s="26" t="str">
        <x:v>135만과 150만 이상은 동일 시점 별도 가산 금지</x:v>
      </x:c>
      <x:c r="H11" s="26" t="str">
        <x:v>P0</x:v>
      </x:c>
    </x:row>
    <x:row r="12" ht="46" customHeight="1">
      <x:c r="A12" s="26" t="str">
        <x:v>사업 단계 정의</x:v>
      </x:c>
      <x:c r="B12" s="26" t="str">
        <x:v>지정→인허가→착공→분양공고→계약→준공→입주</x:v>
      </x:c>
      <x:c r="C12" s="26" t="str">
        <x:v>단계</x:v>
      </x:c>
      <x:c r="D12" s="26" t="str">
        <x:v>사업·블록</x:v>
      </x:c>
      <x:c r="E12" s="26" t="str">
        <x:v>이벤트 발생시</x:v>
      </x:c>
      <x:c r="F12" s="26" t="str">
        <x:v>지도 단계별 색/팝업</x:v>
      </x:c>
      <x:c r="G12" s="26" t="str">
        <x:v>모집공고와 실제 입주는 시점 및 행정 의미 상이</x:v>
      </x:c>
      <x:c r="H12" s="26" t="str">
        <x:v>P0</x:v>
      </x:c>
    </x:row>
    <x:row r="13" ht="46" customHeight="1">
      <x:c r="A13" s="26" t="str">
        <x:v>사업 블록 식별</x:v>
      </x:c>
      <x:c r="B13" s="26" t="str">
        <x:v>정책ID-프로그램ID-사업지구ID-블록ID 연결</x:v>
      </x:c>
      <x:c r="C13" s="26" t="str">
        <x:v>ID</x:v>
      </x:c>
      <x:c r="D13" s="26" t="str">
        <x:v>사업</x:v>
      </x:c>
      <x:c r="E13" s="26" t="str">
        <x:v>항상</x:v>
      </x:c>
      <x:c r="F13" s="26" t="str">
        <x:v>지구 줌 인/클릭</x:v>
      </x:c>
      <x:c r="G13" s="26" t="str">
        <x:v>같은 인천계양에서 착공과 입주가 공존해도 각 블록은 다를 수 있음</x:v>
      </x:c>
      <x:c r="H13" s="26" t="str">
        <x:v>P0</x:v>
      </x:c>
    </x:row>
    <x:row r="14" ht="46" customHeight="1">
      <x:c r="A14" s="26" t="str">
        <x:v>공공·민간 공급 구성</x:v>
      </x:c>
      <x:c r="B14" s="26" t="str">
        <x:v>유형별 목표·실적(공공택지,매입,정비,일반)</x:v>
      </x:c>
      <x:c r="C14" s="26" t="str">
        <x:v>호/%</x:v>
      </x:c>
      <x:c r="D14" s="26" t="str">
        <x:v>프로그램</x:v>
      </x:c>
      <x:c r="E14" s="26" t="str">
        <x:v>월별</x:v>
      </x:c>
      <x:c r="F14" s="26" t="str">
        <x:v>정책별 구성비와 누적 지도</x:v>
      </x:c>
      <x:c r="G14" s="26" t="str">
        <x:v>배포 수치 단순 합산으로 전체 복원 단정 금지</x:v>
      </x:c>
      <x:c r="H14" s="26" t="str">
        <x:v>P0</x:v>
      </x:c>
    </x:row>
    <x:row r="15" ht="46" customHeight="1">
      <x:c r="A15" s="26" t="str">
        <x:v>매입약정→착공 전환율</x:v>
      </x:c>
      <x:c r="B15" s="26" t="str">
        <x:v>약정 중 실제 착공 완료 물량 / 유효 약정 물량</x:v>
      </x:c>
      <x:c r="C15" s="26" t="str">
        <x:v>%</x:v>
      </x:c>
      <x:c r="D15" s="26" t="str">
        <x:v>신축매입</x:v>
      </x:c>
      <x:c r="E15" s="26" t="str">
        <x:v>약정 코호트별</x:v>
      </x:c>
      <x:c r="F15" s="26" t="str">
        <x:v>착공의 선행지표</x:v>
      </x:c>
      <x:c r="G15" s="26" t="str">
        <x:v>건/호 단위 통일 또는 환산 근거 필요</x:v>
      </x:c>
      <x:c r="H15" s="26" t="str">
        <x:v>P1</x:v>
      </x:c>
    </x:row>
    <x:row r="16" ht="46" customHeight="1">
      <x:c r="A16" s="26" t="str">
        <x:v>실제 분양·모집 이행률</x:v>
      </x:c>
      <x:c r="B16" s="26" t="str">
        <x:v>실제 공고 세대수 / 분양·임대모집 예정 세대수</x:v>
      </x:c>
      <x:c r="C16" s="26" t="str">
        <x:v>%</x:v>
      </x:c>
      <x:c r="D16" s="26" t="str">
        <x:v>프로그램·사업</x:v>
      </x:c>
      <x:c r="E16" s="26" t="str">
        <x:v>4분기</x:v>
      </x:c>
      <x:c r="F16" s="26" t="str">
        <x:v>예정 vs 공고 캘린더</x:v>
      </x:c>
      <x:c r="G16" s="26" t="str">
        <x:v>공공분양과 공공임대 분모 분리</x:v>
      </x:c>
      <x:c r="H16" s="26" t="str">
        <x:v>P0</x:v>
      </x:c>
    </x:row>
    <x:row r="17" ht="46" customHeight="1">
      <x:c r="A17" s="26" t="str">
        <x:v>입주 계획 준수율</x:v>
      </x:c>
      <x:c r="B17" s="26" t="str">
        <x:v>예정 시한 내 실제 입주개시 주택수 / 계획 주택수</x:v>
      </x:c>
      <x:c r="C17" s="26" t="str">
        <x:v>%</x:v>
      </x:c>
      <x:c r="D17" s="26" t="str">
        <x:v>사업·블록</x:v>
      </x:c>
      <x:c r="E17" s="26" t="str">
        <x:v>2026Q4~2027</x:v>
      </x:c>
      <x:c r="F17" s="26" t="str">
        <x:v>국민 체감도 시계열</x:v>
      </x:c>
      <x:c r="G17" s="26" t="str">
        <x:v>착공 물량과 같은 모집단인지 연결해야 함</x:v>
      </x:c>
      <x:c r="H17" s="26" t="str">
        <x:v>P0</x:v>
      </x:c>
    </x:row>
    <x:row r="18" ht="46" customHeight="1">
      <x:c r="A18" s="26" t="str">
        <x:v>착공→준공 리드타임</x:v>
      </x:c>
      <x:c r="B18" s="26" t="str">
        <x:v>실제 준공일 - 실제 착공일</x:v>
      </x:c>
      <x:c r="C18" s="26" t="str">
        <x:v>개월</x:v>
      </x:c>
      <x:c r="D18" s="26" t="str">
        <x:v>사업·블록</x:v>
      </x:c>
      <x:c r="E18" s="26" t="str">
        <x:v>사업 생애주기</x:v>
      </x:c>
      <x:c r="F18" s="26" t="str">
        <x:v>시계열·입주 예측</x:v>
      </x:c>
      <x:c r="G18" s="26" t="str">
        <x:v>건설 유형별 분포·분산 활용</x:v>
      </x:c>
      <x:c r="H18" s="26" t="str">
        <x:v>P1</x:v>
      </x:c>
    </x:row>
    <x:row r="19" ht="46" customHeight="1">
      <x:c r="A19" s="26" t="str">
        <x:v>계획대비 일정 지연</x:v>
      </x:c>
      <x:c r="B19" s="26" t="str">
        <x:v>현예정일 - 최초계획일(단계별)</x:v>
      </x:c>
      <x:c r="C19" s="26" t="str">
        <x:v>개월</x:v>
      </x:c>
      <x:c r="D19" s="26" t="str">
        <x:v>사업·블록</x:v>
      </x:c>
      <x:c r="E19" s="26" t="str">
        <x:v>월별</x:v>
      </x:c>
      <x:c r="F19" s="26" t="str">
        <x:v>지연 지도와 경보</x:v>
      </x:c>
      <x:c r="G19" s="26" t="str">
        <x:v>계획 갱신 이력 보존 없으면 신뢰도 저하</x:v>
      </x:c>
      <x:c r="H19" s="26" t="str">
        <x:v>P0</x:v>
      </x:c>
    </x:row>
    <x:row r="20" ht="46" customHeight="1">
      <x:c r="A20" s="26" t="str">
        <x:v>연말 예정 집중도</x:v>
      </x:c>
      <x:c r="B20" s="26" t="str">
        <x:v>Q4 예정 착공 호수 / 해당 연도 연간 목표</x:v>
      </x:c>
      <x:c r="C20" s="26" t="str">
        <x:v>%</x:v>
      </x:c>
      <x:c r="D20" s="26" t="str">
        <x:v>정책·프로그램</x:v>
      </x:c>
      <x:c r="E20" s="26" t="str">
        <x:v>2026년 4분기</x:v>
      </x:c>
      <x:c r="F20" s="26" t="str">
        <x:v>Q4 집중 리스크 지도</x:v>
      </x:c>
      <x:c r="G20" s="26" t="str">
        <x:v>사업별 예정일 수집 필요; 현재 전국 합계만으로 산정 곤란</x:v>
      </x:c>
      <x:c r="H20" s="26" t="str">
        <x:v>P0</x:v>
      </x:c>
    </x:row>
    <x:row r="21" ht="46" customHeight="1">
      <x:c r="A21" s="26" t="str">
        <x:v>병목 해결 리드타임</x:v>
      </x:c>
      <x:c r="B21" s="26" t="str">
        <x:v>이슈 해소일 - 최초 이슈 확인일</x:v>
      </x:c>
      <x:c r="C21" s="26" t="str">
        <x:v>일</x:v>
      </x:c>
      <x:c r="D21" s="26" t="str">
        <x:v>사업·기관</x:v>
      </x:c>
      <x:c r="E21" s="26" t="str">
        <x:v>주·월</x:v>
      </x:c>
      <x:c r="F21" s="26" t="str">
        <x:v>범정부 대응 SLA 추적</x:v>
      </x:c>
      <x:c r="G21" s="26" t="str">
        <x:v>사유(인허가·보상·PF·갈등), 책임기관, 조치 기록</x:v>
      </x:c>
      <x:c r="H21" s="26" t="str">
        <x:v>P0</x:v>
      </x:c>
    </x:row>
    <x:row r="22" ht="46" customHeight="1">
      <x:c r="A22" s="26" t="str">
        <x:v>제도개선 이행률</x:v>
      </x:c>
      <x:c r="B22" s="26" t="str">
        <x:v>확정 완료 과제 / 정책별 전체 과제</x:v>
      </x:c>
      <x:c r="C22" s="26" t="str">
        <x:v>건/%</x:v>
      </x:c>
      <x:c r="D22" s="26" t="str">
        <x:v>정책</x:v>
      </x:c>
      <x:c r="E22" s="26" t="str">
        <x:v>브리핑 기준일</x:v>
      </x:c>
      <x:c r="F22" s="26" t="str">
        <x:v>정책과제 관리 화면</x:v>
      </x:c>
      <x:c r="G22" s="26" t="str">
        <x:v>9·7 입법과제와 8·13 145건 혼합 금지</x:v>
      </x:c>
      <x:c r="H22" s="26" t="str">
        <x:v>P0</x:v>
      </x:c>
    </x:row>
    <x:row r="23" ht="46" customHeight="1">
      <x:c r="A23" s="26" t="str">
        <x:v>시장 선행 신호</x:v>
      </x:c>
      <x:c r="B23" s="26" t="str">
        <x:v>인허가·약정 접수량·착공 실적 등 변화</x:v>
      </x:c>
      <x:c r="C23" s="26" t="str">
        <x:v>호/건/%</x:v>
      </x:c>
      <x:c r="D23" s="26" t="str">
        <x:v>지역·프로그램</x:v>
      </x:c>
      <x:c r="E23" s="26" t="str">
        <x:v>시계열</x:v>
      </x:c>
      <x:c r="F23" s="26" t="str">
        <x:v>향후 12개월 공급 예고</x:v>
      </x:c>
      <x:c r="G23" s="26" t="str">
        <x:v>직전 6개월/전년동기 분모 명시</x:v>
      </x:c>
      <x:c r="H23" s="26" t="str">
        <x:v>P1</x:v>
      </x:c>
    </x:row>
    <x:row r="24" ht="46" customHeight="1">
      <x:c r="A24" s="26" t="str">
        <x:v>주택가격·수급 대응</x:v>
      </x:c>
      <x:c r="B24" s="26" t="str">
        <x:v>실거래가격지수·매매수급·심리지수·거래량</x:v>
      </x:c>
      <x:c r="C24" s="26" t="str">
        <x:v>지수/%</x:v>
      </x:c>
      <x:c r="D24" s="26" t="str">
        <x:v>지역</x:v>
      </x:c>
      <x:c r="E24" s="26" t="str">
        <x:v>월별</x:v>
      </x:c>
      <x:c r="F24" s="26" t="str">
        <x:v>공급-시장 영향 시차 분석</x:v>
      </x:c>
      <x:c r="G24" s="26" t="str">
        <x:v>상관/시차를 정책 효과의 인과로 단정 금지</x:v>
      </x:c>
      <x:c r="H24" s="26" t="str">
        <x:v>P1</x:v>
      </x:c>
    </x:row>
    <x:row r="25" ht="46" customHeight="1">
      <x:c r="A25" s="26" t="str">
        <x:v>행정데이터 갱신 준수율</x:v>
      </x:c>
      <x:c r="B25" s="26" t="str">
        <x:v>정해진 주기 내 갱신 사업 수 / 전체 사업 수</x:v>
      </x:c>
      <x:c r="C25" s="26" t="str">
        <x:v>%</x:v>
      </x:c>
      <x:c r="D25" s="26" t="str">
        <x:v>전 계층</x:v>
      </x:c>
      <x:c r="E25" s="26" t="str">
        <x:v>일·주·월</x:v>
      </x:c>
      <x:c r="F25" s="26" t="str">
        <x:v>데이터 신뢰성</x:v>
      </x:c>
      <x:c r="G25" s="26" t="str">
        <x:v>원천기관·기준일·가져온 시각·버전 기록</x:v>
      </x:c>
      <x:c r="H25" s="26" t="str">
        <x:v>P0</x:v>
      </x:c>
    </x:row>
    <x:row r="26" ht="46" customHeight="1">
      <x:c r="A26" s="26" t="str">
        <x:v>지리적 분석 단위</x:v>
      </x:c>
      <x:c r="B26" s="26" t="str">
        <x:v>시도→시군구→사업지구 폴리곤→블록 위치</x:v>
      </x:c>
      <x:c r="C26" s="26" t="str">
        <x:v>좌표</x:v>
      </x:c>
      <x:c r="D26" s="26" t="str">
        <x:v>지도</x:v>
      </x:c>
      <x:c r="E26" s="26" t="str">
        <x:v>항상</x:v>
      </x:c>
      <x:c r="F26" s="26" t="str">
        <x:v>지도 우선 화면</x:v>
      </x:c>
      <x:c r="G26" s="26" t="str">
        <x:v>지구 대표점이 아파트 블록 실제 좌표를 보장하지 않음</x:v>
      </x:c>
      <x:c r="H26" s="26" t="str">
        <x:v>P0</x:v>
      </x:c>
    </x:row>
    <x:row r="27" ht="46" customHeight="1">
      <x:c r="A27" s="26" t="str">
        <x:v>발표 스냅샷 대사</x:v>
      </x:c>
      <x:c r="B27" s="26" t="str">
        <x:v>발표 수치와 사업 DB 합계·집계범위 간 차이</x:v>
      </x:c>
      <x:c r="C27" s="26" t="str">
        <x:v>호</x:v>
      </x:c>
      <x:c r="D27" s="26" t="str">
        <x:v>정책/프로그램</x:v>
      </x:c>
      <x:c r="E27" s="26" t="str">
        <x:v>격주 브리핑</x:v>
      </x:c>
      <x:c r="F27" s="26" t="str">
        <x:v>대사 오류 탐지 및 재현성</x:v>
      </x:c>
      <x:c r="G27" s="26" t="str">
        <x:v>99,000호 하한과 유형별 공개수치 합계 93,200은 단순 일치 요구 금지</x:v>
      </x:c>
      <x:c r="H27" s="26" t="str">
        <x:v>P0</x:v>
      </x:c>
    </x:row>
    <x:row r="28" ht="46" customHeight="1">
      <x:c r="A28" s="26" t="str">
        <x:v>공식 공개/내부 관리 분리</x:v>
      </x:c>
      <x:c r="B28" s="26" t="str">
        <x:v>공개 가능한 일정·위치·상태 vs 담당자·리스크·비공개 정보</x:v>
      </x:c>
      <x:c r="C28" s="26" t="str">
        <x:v>권한</x:v>
      </x:c>
      <x:c r="D28" s="26" t="str">
        <x:v>서비스</x:v>
      </x:c>
      <x:c r="E28" s="26" t="str">
        <x:v>항상</x:v>
      </x:c>
      <x:c r="F28" s="26" t="str">
        <x:v>국민용/정책담당자용 2계층</x:v>
      </x:c>
      <x:c r="G28" s="26" t="str">
        <x:v>사업 진행 정보 민감도와 발표 가능시점 확인</x:v>
      </x:c>
      <x:c r="H28" s="26" t="str">
        <x:v>P1</x:v>
      </x:c>
    </x:row>
    <x:row r="29" ht="46" customHeight="1">
      <x:c r="A29" s="26" t="str">
        <x:v>AI 설명의 근거 연결</x:v>
      </x:c>
      <x:c r="B29" s="26" t="str">
        <x:v>AI 요약→근거 지표→사업 레코드→공식 원문</x:v>
      </x:c>
      <x:c r="C29" s="26" t="str">
        <x:v>링크</x:v>
      </x:c>
      <x:c r="D29" s="26" t="str">
        <x:v>전 계층</x:v>
      </x:c>
      <x:c r="E29" s="26" t="str">
        <x:v>항상</x:v>
      </x:c>
      <x:c r="F29" s="26" t="str">
        <x:v>근거 있는 정책 브리핑</x:v>
      </x:c>
      <x:c r="G29" s="26" t="str">
        <x:v>추론·실적·계획 항목 엄격히 표시</x:v>
      </x:c>
      <x:c r="H29" s="26" t="str">
        <x:v>P0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b323f560f9f748e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24" hidden="0" customWidth="1"/>
    <x:col min="4" max="4" width="47" hidden="0" customWidth="1"/>
    <x:col min="5" max="5" width="48" hidden="0" customWidth="1"/>
    <x:col min="6" max="6" width="75" hidden="0" customWidth="1"/>
    <x:col min="7" max="7" width="22" hidden="0" customWidth="1"/>
    <x:col min="8" max="8" width="65" hidden="0" customWidth="1"/>
  </x:cols>
  <x:sheetData>
    <x:row r="1" ht="25" customHeight="1">
      <x:c r="A1" s="4" t="str">
        <x:v>출처·검증 수준 · 적용 범위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32" customHeight="1">
      <x:c r="A3" s="11" t="str">
        <x:v>1차 공식 발언을 우선 적용. 유튜브 링크는 제공됐으나 이번 회차에서는 영상·자막 직접 추출과 타임코드 정합 검증이 불가</x:v>
      </x:c>
      <x:c r="B3" s="11"/>
      <x:c r="C3" s="11"/>
      <x:c r="D3" s="11"/>
      <x:c r="E3" s="11"/>
      <x:c r="F3" s="11"/>
      <x:c r="G3" s="11"/>
      <x:c r="H3" s="11"/>
    </x:row>
    <x:row r="5" ht="34" customHeight="1">
      <x:c r="A5" s="19" t="str">
        <x:v>번호</x:v>
      </x:c>
      <x:c r="B5" s="19" t="str">
        <x:v>공개일</x:v>
      </x:c>
      <x:c r="C5" s="19" t="str">
        <x:v>발행 주체</x:v>
      </x:c>
      <x:c r="D5" s="19" t="str">
        <x:v>자료명</x:v>
      </x:c>
      <x:c r="E5" s="19" t="str">
        <x:v>검증 목적·활용</x:v>
      </x:c>
      <x:c r="F5" s="19" t="str">
        <x:v>원천 링크/파일</x:v>
      </x:c>
      <x:c r="G5" s="19" t="str">
        <x:v>근거 등급</x:v>
      </x:c>
      <x:c r="H5" s="19" t="str">
        <x:v>확인 범위·한계</x:v>
      </x:c>
    </x:row>
    <x:row r="6" ht="46" customHeight="1">
      <x:c r="A6" s="26" t="str">
        <x:v>S01</x:v>
      </x:c>
      <x:c r="B6" s="26" t="str">
        <x:v>2026.10.16</x:v>
      </x:c>
      <x:c r="C6" s="26" t="str">
        <x:v>국무조정실·국토부</x:v>
      </x:c>
      <x:c r="D6" s="26" t="str">
        <x:v>제1차 주택공급 정례브리핑 공식 속기</x:v>
      </x:c>
      <x:c r="E6" s="26" t="str">
        <x:v>공식 발언·질의응답·사업별 물량</x:v>
      </x:c>
      <x:c r="F6" s="26" t="str">
        <x:v>https://m.korea.kr/briefing/policyBriefingView.do?newsId=156785506</x:v>
      </x:c>
      <x:c r="G6" s="26" t="str">
        <x:v>1차 직접 근거</x:v>
      </x:c>
      <x:c r="H6" s="26" t="str">
        <x:v>유튜브 자막과 직접 시간동기화하지 못함</x:v>
      </x:c>
    </x:row>
    <x:row r="7" ht="46" customHeight="1">
      <x:c r="A7" s="26" t="str">
        <x:v>S02</x:v>
      </x:c>
      <x:c r="B7" s="26" t="str">
        <x:v>2026.10.16</x:v>
      </x:c>
      <x:c r="C7" s="26" t="str">
        <x:v>관계부처 합동</x:v>
      </x:c>
      <x:c r="D7" s="26" t="str">
        <x:v>정책뉴스: 연말까지 수도권 주택 착공 전망</x:v>
      </x:c>
      <x:c r="E7" s="26" t="str">
        <x:v>실적 1.62만 등 보도용 보완 수치</x:v>
      </x:c>
      <x:c r="F7" s="26" t="str">
        <x:v>https://m.korea.kr/news/policyNewsView.do?newsId=148973657</x:v>
      </x:c>
      <x:c r="G7" s="26" t="str">
        <x:v>1차 보도자료 해설</x:v>
      </x:c>
      <x:c r="H7" s="26" t="str">
        <x:v>정확 수치와 구두 반올림이 다를 수 있음</x:v>
      </x:c>
    </x:row>
    <x:row r="8" ht="46" customHeight="1">
      <x:c r="A8" s="26" t="str">
        <x:v>S03</x:v>
      </x:c>
      <x:c r="B8" s="26" t="str">
        <x:v>2025.09.07</x:v>
      </x:c>
      <x:c r="C8" s="26" t="str">
        <x:v>국토교통부</x:v>
      </x:c>
      <x:c r="D8" s="26" t="str">
        <x:v>9·7 주택공급 확대방안 본 브리핑</x:v>
      </x:c>
      <x:c r="E8" s="26" t="str">
        <x:v>수도권 2026~2030 135만호 이상 목표</x:v>
      </x:c>
      <x:c r="F8" s="26" t="str">
        <x:v>https://m.korea.kr/briefing/policyBriefingView.do?newsId=156721813</x:v>
      </x:c>
      <x:c r="G8" s="26" t="str">
        <x:v>원계획 1차 근거</x:v>
      </x:c>
      <x:c r="H8" s="26" t="str">
        <x:v>현재 통합 목표와 발표 시점 차이</x:v>
      </x:c>
    </x:row>
    <x:row r="9" ht="46" customHeight="1">
      <x:c r="A9" s="26" t="str">
        <x:v>S04</x:v>
      </x:c>
      <x:c r="B9" s="26" t="str">
        <x:v>2026.08.13</x:v>
      </x:c>
      <x:c r="C9" s="26" t="str">
        <x:v>국토교통부</x:v>
      </x:c>
      <x:c r="D9" s="26" t="str">
        <x:v>주택 신속공급 방안 공식 브리핑</x:v>
      </x:c>
      <x:c r="E9" s="26" t="str">
        <x:v>후속대책 23만호+α, 통합 150만호 이상 계획</x:v>
      </x:c>
      <x:c r="F9" s="26" t="str">
        <x:v>https://m.korea.kr/briefing/policyBriefingView.do?newsId=156774369</x:v>
      </x:c>
      <x:c r="G9" s="26" t="str">
        <x:v>후속계획 1차 근거</x:v>
      </x:c>
      <x:c r="H9" s="26" t="str">
        <x:v>대책별 포함관계 검증 필요</x:v>
      </x:c>
    </x:row>
    <x:row r="10" ht="46" customHeight="1">
      <x:c r="A10" s="26" t="str">
        <x:v>S05</x:v>
      </x:c>
      <x:c r="B10" s="26" t="str">
        <x:v>2026.10.16</x:v>
      </x:c>
      <x:c r="C10" s="26" t="str">
        <x:v>KDI 경제교육·정보센터</x:v>
      </x:c>
      <x:c r="D10" s="26" t="str">
        <x:v>제1차 주택공급 정책 브리프 자료색인</x:v>
      </x:c>
      <x:c r="E10" s="26" t="str">
        <x:v>원문 정책 브리프·별첨 PDF 목록</x:v>
      </x:c>
      <x:c r="F10" s="26" t="str">
        <x:v>https://eiec.kdi.re.kr/policy/materialView.do?num=288200&amp;pg=&amp;pp=&amp;topic=P</x:v>
      </x:c>
      <x:c r="G10" s="26" t="str">
        <x:v>자료 원문 소재 확인</x:v>
      </x:c>
      <x:c r="H10" s="26" t="str">
        <x:v>PDF 첨부의 세부표 직접 대조 미완료</x:v>
      </x:c>
    </x:row>
    <x:row r="11" ht="46" customHeight="1">
      <x:c r="A11" s="26" t="str">
        <x:v>S06</x:v>
      </x:c>
      <x:c r="B11" s="26" t="str">
        <x:v>2026.10.16</x:v>
      </x:c>
      <x:c r="C11" s="26" t="str">
        <x:v>KTV 국민방송</x:v>
      </x:c>
      <x:c r="D11" s="26" t="str">
        <x:v>제1차 주택 공급 정례브리핑 방송 안내</x:v>
      </x:c>
      <x:c r="E11" s="26" t="str">
        <x:v>당일 브리핑 재영상/보도 목록</x:v>
      </x:c>
      <x:c r="F11" s="26" t="str">
        <x:v>https://www.ktv.go.kr/program/home/PG2260019D/content/list?pageIndex=1</x:v>
      </x:c>
      <x:c r="G11" s="26" t="str">
        <x:v>교차 확인용 영상</x:v>
      </x:c>
      <x:c r="H11" s="26" t="str">
        <x:v>유튜브 영상의 자막·타임코드 직접 확보하지 못함</x:v>
      </x:c>
    </x:row>
    <x:row r="12" ht="46" customHeight="1">
      <x:c r="A12" s="26" t="str">
        <x:v>S07</x:v>
      </x:c>
      <x:c r="B12" s="26" t="str">
        <x:v>2026.10.16</x:v>
      </x:c>
      <x:c r="C12" s="26" t="str">
        <x:v>사용자 제공</x:v>
      </x:c>
      <x:c r="D12" s="26" t="str">
        <x:v>주택파동 정책근거·요구사항 매트릭스</x:v>
      </x:c>
      <x:c r="E12" s="26" t="str">
        <x:v>정책·프로그램·사업·지도·병목·지연·원천정보 설계</x:v>
      </x:c>
      <x:c r="F12" s="26" t="str">
        <x:v>사용자 제공: 주택파동_정책근거_및_요구사항_매트릭스.md</x:v>
      </x:c>
      <x:c r="G12" s="26" t="str">
        <x:v>내부 기획 근거</x:v>
      </x:c>
      <x:c r="H12" s="26" t="str">
        <x:v>구현 코드/DB/최신 README 미제공으로 운영 여부 불명</x:v>
      </x:c>
    </x:row>
    <x:row r="13" ht="46" customHeight="1">
      <x:c r="A13" s="26" t="str">
        <x:v>S08</x:v>
      </x:c>
      <x:c r="B13" s="26" t="str">
        <x:v>미확인</x:v>
      </x:c>
      <x:c r="C13" s="26" t="str">
        <x:v>사용자 제공</x:v>
      </x:c>
      <x:c r="D13" s="26" t="str">
        <x:v>검토 요청 유튜브 LIVE</x:v>
      </x:c>
      <x:c r="E13" s="26" t="str">
        <x:v>영상·자막 확보 대상</x:v>
      </x:c>
      <x:c r="F13" s="26" t="str">
        <x:v>https://www.youtube.com/live/HLbJh9jn_JQ</x:v>
      </x:c>
      <x:c r="G13" s="26" t="str">
        <x:v>대상 링크</x:v>
      </x:c>
      <x:c r="H13" s="26" t="str">
        <x:v>직접 영상·자막 취득 불가; 공식 속기로 대체 검증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506968ccd9384a0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28" hidden="0" customWidth="1"/>
    <x:col min="4" max="4" width="19" hidden="0" customWidth="1"/>
    <x:col min="5" max="5" width="56" hidden="0" customWidth="1"/>
    <x:col min="6" max="6" width="48" hidden="0" customWidth="1"/>
    <x:col min="7" max="7" width="59" hidden="0" customWidth="1"/>
    <x:col min="8" max="8" width="12" hidden="0" customWidth="1"/>
    <x:col min="9" max="9" width="65" hidden="0" customWidth="1"/>
  </x:cols>
  <x:sheetData>
    <x:row r="1" ht="25" customHeight="1">
      <x:c r="A1" s="4" t="str">
        <x:v>우리 시스템 기획 ↔ 정부 브리핑 대응판정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2" customHeight="1">
      <x:c r="A3" s="11" t="str">
        <x:v>본 판정은 사용자 제공 요구사항 매트릭스와 기존 지도·정책·프로그램·사업 관리 구상에 대한 설계적 대조임. 실제 기능 구현 여부는 검증되지 않음.</x:v>
      </x:c>
      <x:c r="B3" s="11"/>
      <x:c r="C3" s="11"/>
      <x:c r="D3" s="11"/>
      <x:c r="E3" s="11"/>
      <x:c r="F3" s="11"/>
      <x:c r="G3" s="11"/>
      <x:c r="H3" s="11"/>
      <x:c r="I3" s="11"/>
    </x:row>
    <x:row r="5" ht="34" customHeight="1">
      <x:c r="A5" s="19" t="str">
        <x:v>ID</x:v>
      </x:c>
      <x:c r="B5" s="19" t="str">
        <x:v>관리계층</x:v>
      </x:c>
      <x:c r="C5" s="19" t="str">
        <x:v>성과 항목</x:v>
      </x:c>
      <x:c r="D5" s="19" t="str">
        <x:v>기획 대응판정</x:v>
      </x:c>
      <x:c r="E5" s="19" t="str">
        <x:v>판정 설명</x:v>
      </x:c>
      <x:c r="F5" s="19" t="str">
        <x:v>필요한 원천정보</x:v>
      </x:c>
      <x:c r="G5" s="19" t="str">
        <x:v>추가 구현/분석</x:v>
      </x:c>
      <x:c r="H5" s="19" t="str">
        <x:v>우선순위</x:v>
      </x:c>
      <x:c r="I5" s="19" t="str">
        <x:v>공식 출처</x:v>
      </x:c>
    </x:row>
    <x:row r="6" ht="46" customHeight="1">
      <x:c r="A6" s="26" t="str">
        <x:v>M01</x:v>
      </x:c>
      <x:c r="B6" s="26" t="str">
        <x:v>정책</x:v>
      </x:c>
      <x:c r="C6" s="26" t="str">
        <x:v>9·7 원래 착공목표</x:v>
      </x:c>
      <x:c r="D6" s="26" t="str">
        <x:v>추가 설계</x:v>
      </x:c>
      <x:c r="E6" s="26" t="str">
        <x:v>지도·타임라인의 기본 구상은 있으나 자료구조/지표 확장이 필요</x:v>
      </x:c>
      <x:c r="F6" s="26" t="str">
        <x:v>정책대책 버전·목표변경·집계정의·과제 증빙</x:v>
      </x:c>
      <x:c r="G6" s="26" t="str">
        <x:v>목표 버전관리(발표일·변경사유·중복범위)</x:v>
      </x:c>
      <x:c r="H6" s="26" t="str">
        <x:v>최상</x:v>
      </x:c>
      <x:c r="I6" s="26" t="str">
        <x:v>https://m.korea.kr/briefing/policyBriefingView.do?newsId=156721813</x:v>
      </x:c>
    </x:row>
    <x:row r="7" ht="46" customHeight="1">
      <x:c r="A7" s="26" t="str">
        <x:v>M02</x:v>
      </x:c>
      <x:c r="B7" s="26" t="str">
        <x:v>정책</x:v>
      </x:c>
      <x:c r="C7" s="26" t="str">
        <x:v>확대 통합 착공목표</x:v>
      </x:c>
      <x:c r="D7" s="26" t="str">
        <x:v>추가 설계</x:v>
      </x:c>
      <x:c r="E7" s="26" t="str">
        <x:v>지도·타임라인의 기본 구상은 있으나 자료구조/지표 확장이 필요</x:v>
      </x:c>
      <x:c r="F7" s="26" t="str">
        <x:v>정책대책 버전·목표변경·집계정의·과제 증빙</x:v>
      </x:c>
      <x:c r="G7" s="26" t="str">
        <x:v>원계획 대비 순증분과 포함 관계 분리</x:v>
      </x:c>
      <x:c r="H7" s="26" t="str">
        <x:v>최상</x:v>
      </x:c>
      <x:c r="I7" s="26" t="str">
        <x:v>https://m.korea.kr/briefing/policyBriefingView.do?newsId=156785506</x:v>
      </x:c>
    </x:row>
    <x:row r="8" ht="46" customHeight="1">
      <x:c r="A8" s="26" t="str">
        <x:v>M03</x:v>
      </x:c>
      <x:c r="B8" s="26" t="str">
        <x:v>정책</x:v>
      </x:c>
      <x:c r="C8" s="26" t="str">
        <x:v>2026 수도권 착공목표</x:v>
      </x:c>
      <x:c r="D8" s="26" t="str">
        <x:v>기획 반영</x:v>
      </x:c>
      <x:c r="E8" s="26" t="str">
        <x:v>현재 요구사항 매트릭스에서 직접 연결되는 화면·지표가 있음</x:v>
      </x:c>
      <x:c r="F8" s="26" t="str">
        <x:v>정책대책 버전·목표변경·집계정의·과제 증빙</x:v>
      </x:c>
      <x:c r="G8" s="26" t="str">
        <x:v>연초목표·변경목표·확정목표 비교</x:v>
      </x:c>
      <x:c r="H8" s="26" t="str">
        <x:v>최상</x:v>
      </x:c>
      <x:c r="I8" s="26" t="str">
        <x:v>https://m.korea.kr/briefing/policyBriefingView.do?newsId=156785506</x:v>
      </x:c>
    </x:row>
    <x:row r="9" ht="46" customHeight="1">
      <x:c r="A9" s="26" t="str">
        <x:v>M04</x:v>
      </x:c>
      <x:c r="B9" s="26" t="str">
        <x:v>정책</x:v>
      </x:c>
      <x:c r="C9" s="26" t="str">
        <x:v>2026 착공 실적</x:v>
      </x:c>
      <x:c r="D9" s="26" t="str">
        <x:v>기획 반영</x:v>
      </x:c>
      <x:c r="E9" s="26" t="str">
        <x:v>현재 요구사항 매트릭스에서 직접 연결되는 화면·지표가 있음</x:v>
      </x:c>
      <x:c r="F9" s="26" t="str">
        <x:v>정책대책 버전·목표변경·집계정의·과제 증빙</x:v>
      </x:c>
      <x:c r="G9" s="26" t="str">
        <x:v>정의·기준일 표시, 누적실적 지도로 연결</x:v>
      </x:c>
      <x:c r="H9" s="26" t="str">
        <x:v>최상</x:v>
      </x:c>
      <x:c r="I9" s="26" t="str">
        <x:v>https://m.korea.kr/briefing/policyBriefingView.do?newsId=156785506</x:v>
      </x:c>
    </x:row>
    <x:row r="10" ht="46" customHeight="1">
      <x:c r="A10" s="26" t="str">
        <x:v>M05</x:v>
      </x:c>
      <x:c r="B10" s="26" t="str">
        <x:v>정책</x:v>
      </x:c>
      <x:c r="C10" s="26" t="str">
        <x:v>2026 연말 착공 전망</x:v>
      </x:c>
      <x:c r="D10" s="26" t="str">
        <x:v>추가 설계</x:v>
      </x:c>
      <x:c r="E10" s="26" t="str">
        <x:v>지도·타임라인의 기본 구상은 있으나 자료구조/지표 확장이 필요</x:v>
      </x:c>
      <x:c r="F10" s="26" t="str">
        <x:v>정책대책 버전·목표변경·집계정의·과제 증빙</x:v>
      </x:c>
      <x:c r="G10" s="26" t="str">
        <x:v>전망 시나리오·사업별 달성 조건·실적 대비 편차</x:v>
      </x:c>
      <x:c r="H10" s="26" t="str">
        <x:v>최상</x:v>
      </x:c>
      <x:c r="I10" s="26" t="str">
        <x:v>https://m.korea.kr/briefing/policyBriefingView.do?newsId=156785506</x:v>
      </x:c>
    </x:row>
    <x:row r="11" ht="46" customHeight="1">
      <x:c r="A11" s="26" t="str">
        <x:v>M06</x:v>
      </x:c>
      <x:c r="B11" s="26" t="str">
        <x:v>프로그램</x:v>
      </x:c>
      <x:c r="C11" s="26" t="str">
        <x:v>공공주택 착공 목표</x:v>
      </x:c>
      <x:c r="D11" s="26" t="str">
        <x:v>기획 반영</x:v>
      </x:c>
      <x:c r="E11" s="26" t="str">
        <x:v>현재 요구사항 매트릭스에서 직접 연결되는 화면·지표가 있음</x:v>
      </x:c>
      <x:c r="F11" s="26" t="str">
        <x:v>공급유형 코드·기관별 실적·하위 사업ID·원천일자</x:v>
      </x:c>
      <x:c r="G11" s="26" t="str">
        <x:v>사업지·블록별 할당목표 연계</x:v>
      </x:c>
      <x:c r="H11" s="26" t="str">
        <x:v>최상</x:v>
      </x:c>
      <x:c r="I11" s="26" t="str">
        <x:v>https://m.korea.kr/news/policyNewsView.do?newsId=148973657</x:v>
      </x:c>
    </x:row>
    <x:row r="12" ht="46" customHeight="1">
      <x:c r="A12" s="26" t="str">
        <x:v>M07</x:v>
      </x:c>
      <x:c r="B12" s="26" t="str">
        <x:v>프로그램</x:v>
      </x:c>
      <x:c r="C12" s="26" t="str">
        <x:v>공공주택 착공 실적</x:v>
      </x:c>
      <x:c r="D12" s="26" t="str">
        <x:v>기획 반영</x:v>
      </x:c>
      <x:c r="E12" s="26" t="str">
        <x:v>현재 요구사항 매트릭스에서 직접 연결되는 화면·지표가 있음</x:v>
      </x:c>
      <x:c r="F12" s="26" t="str">
        <x:v>공급유형 코드·기관별 실적·하위 사업ID·원천일자</x:v>
      </x:c>
      <x:c r="G12" s="26" t="str">
        <x:v>착공 전환율과 지구별 기여율</x:v>
      </x:c>
      <x:c r="H12" s="26" t="str">
        <x:v>최상</x:v>
      </x:c>
      <x:c r="I12" s="26" t="str">
        <x:v>https://m.korea.kr/news/policyNewsView.do?newsId=148973657</x:v>
      </x:c>
    </x:row>
    <x:row r="13" ht="46" customHeight="1">
      <x:c r="A13" s="26" t="str">
        <x:v>M08</x:v>
      </x:c>
      <x:c r="B13" s="26" t="str">
        <x:v>프로그램</x:v>
      </x:c>
      <x:c r="C13" s="26" t="str">
        <x:v>3기 신도시 착공 실적</x:v>
      </x:c>
      <x:c r="D13" s="26" t="str">
        <x:v>기획 반영</x:v>
      </x:c>
      <x:c r="E13" s="26" t="str">
        <x:v>현재 요구사항 매트릭스에서 직접 연결되는 화면·지표가 있음</x:v>
      </x:c>
      <x:c r="F13" s="26" t="str">
        <x:v>공급유형 코드·기관별 실적·하위 사업ID·원천일자</x:v>
      </x:c>
      <x:c r="G13" s="26" t="str">
        <x:v>지구-블록 Drill-down, 공공주택과 중복 집계 방지</x:v>
      </x:c>
      <x:c r="H13" s="26" t="str">
        <x:v>최상</x:v>
      </x:c>
      <x:c r="I13" s="26" t="str">
        <x:v>https://m.korea.kr/briefing/policyBriefingView.do?newsId=156785506</x:v>
      </x:c>
    </x:row>
    <x:row r="14" ht="46" customHeight="1">
      <x:c r="A14" s="26" t="str">
        <x:v>M09</x:v>
      </x:c>
      <x:c r="B14" s="26" t="str">
        <x:v>프로그램</x:v>
      </x:c>
      <x:c r="C14" s="26" t="str">
        <x:v>도심 공급 착공</x:v>
      </x:c>
      <x:c r="D14" s="26" t="str">
        <x:v>자료 연계 필요</x:v>
      </x:c>
      <x:c r="E14" s="26" t="str">
        <x:v>관련 원천데이터 확보와 매핑 검증이 선행되어야 함</x:v>
      </x:c>
      <x:c r="F14" s="26" t="str">
        <x:v>공급유형 코드·기관별 실적·하위 사업ID·원천일자</x:v>
      </x:c>
      <x:c r="G14" s="26" t="str">
        <x:v>개별 사업 식별 및 좌표 확인</x:v>
      </x:c>
      <x:c r="H14" s="26" t="str">
        <x:v>높음</x:v>
      </x:c>
      <x:c r="I14" s="26" t="str">
        <x:v>https://m.korea.kr/briefing/policyBriefingView.do?newsId=156785506</x:v>
      </x:c>
    </x:row>
    <x:row r="15" ht="46" customHeight="1">
      <x:c r="A15" s="26" t="str">
        <x:v>M10</x:v>
      </x:c>
      <x:c r="B15" s="26" t="str">
        <x:v>프로그램</x:v>
      </x:c>
      <x:c r="C15" s="26" t="str">
        <x:v>신축매입 주택 착공</x:v>
      </x:c>
      <x:c r="D15" s="26" t="str">
        <x:v>기획 반영</x:v>
      </x:c>
      <x:c r="E15" s="26" t="str">
        <x:v>현재 요구사항 매트릭스에서 직접 연결되는 화면·지표가 있음</x:v>
      </x:c>
      <x:c r="F15" s="26" t="str">
        <x:v>공급유형 코드·기관별 실적·하위 사업ID·원천일자</x:v>
      </x:c>
      <x:c r="G15" s="26" t="str">
        <x:v>약정→설계→착공 전환 퍼널</x:v>
      </x:c>
      <x:c r="H15" s="26" t="str">
        <x:v>최상</x:v>
      </x:c>
      <x:c r="I15" s="26" t="str">
        <x:v>https://m.korea.kr/briefing/policyBriefingView.do?newsId=156785506</x:v>
      </x:c>
    </x:row>
    <x:row r="16" ht="46" customHeight="1">
      <x:c r="A16" s="26" t="str">
        <x:v>M11</x:v>
      </x:c>
      <x:c r="B16" s="26" t="str">
        <x:v>프로그램</x:v>
      </x:c>
      <x:c r="C16" s="26" t="str">
        <x:v>서울 신축매입 착공</x:v>
      </x:c>
      <x:c r="D16" s="26" t="str">
        <x:v>기획 반영</x:v>
      </x:c>
      <x:c r="E16" s="26" t="str">
        <x:v>현재 요구사항 매트릭스에서 직접 연결되는 화면·지표가 있음</x:v>
      </x:c>
      <x:c r="F16" s="26" t="str">
        <x:v>공급유형 코드·기관별 실적·하위 사업ID·원천일자</x:v>
      </x:c>
      <x:c r="G16" s="26" t="str">
        <x:v>서울 자치구별 밀도·전환율</x:v>
      </x:c>
      <x:c r="H16" s="26" t="str">
        <x:v>높음</x:v>
      </x:c>
      <x:c r="I16" s="26" t="str">
        <x:v>https://m.korea.kr/briefing/policyBriefingView.do?newsId=156785506</x:v>
      </x:c>
    </x:row>
    <x:row r="17" ht="46" customHeight="1">
      <x:c r="A17" s="26" t="str">
        <x:v>M12</x:v>
      </x:c>
      <x:c r="B17" s="26" t="str">
        <x:v>프로그램</x:v>
      </x:c>
      <x:c r="C17" s="26" t="str">
        <x:v>매입약정 접수 추이</x:v>
      </x:c>
      <x:c r="D17" s="26" t="str">
        <x:v>추가 설계</x:v>
      </x:c>
      <x:c r="E17" s="26" t="str">
        <x:v>지도·타임라인의 기본 구상은 있으나 자료구조/지표 확장이 필요</x:v>
      </x:c>
      <x:c r="F17" s="26" t="str">
        <x:v>공급유형 코드·기관별 실적·하위 사업ID·원천일자</x:v>
      </x:c>
      <x:c r="G17" s="26" t="str">
        <x:v>접수→실제 착공 전환율·리드타임</x:v>
      </x:c>
      <x:c r="H17" s="26" t="str">
        <x:v>최상</x:v>
      </x:c>
      <x:c r="I17" s="26" t="str">
        <x:v>https://m.korea.kr/briefing/policyBriefingView.do?newsId=156785506</x:v>
      </x:c>
    </x:row>
    <x:row r="18" ht="46" customHeight="1">
      <x:c r="A18" s="26" t="str">
        <x:v>M13</x:v>
      </x:c>
      <x:c r="B18" s="26" t="str">
        <x:v>프로그램</x:v>
      </x:c>
      <x:c r="C18" s="26" t="str">
        <x:v>매입약정 8월 증가</x:v>
      </x:c>
      <x:c r="D18" s="26" t="str">
        <x:v>추가 설계</x:v>
      </x:c>
      <x:c r="E18" s="26" t="str">
        <x:v>지도·타임라인의 기본 구상은 있으나 자료구조/지표 확장이 필요</x:v>
      </x:c>
      <x:c r="F18" s="26" t="str">
        <x:v>공급유형 코드·기관별 실적·하위 사업ID·원천일자</x:v>
      </x:c>
      <x:c r="G18" s="26" t="str">
        <x:v>접수 물량 분모·시계열 원천 매칭</x:v>
      </x:c>
      <x:c r="H18" s="26" t="str">
        <x:v>높음</x:v>
      </x:c>
      <x:c r="I18" s="26" t="str">
        <x:v>https://m.korea.kr/briefing/policyBriefingView.do?newsId=156785506</x:v>
      </x:c>
    </x:row>
    <x:row r="19" ht="46" customHeight="1">
      <x:c r="A19" s="26" t="str">
        <x:v>M14</x:v>
      </x:c>
      <x:c r="B19" s="26" t="str">
        <x:v>프로그램</x:v>
      </x:c>
      <x:c r="C19" s="26" t="str">
        <x:v>민간정비사업 착공</x:v>
      </x:c>
      <x:c r="D19" s="26" t="str">
        <x:v>범위 확장</x:v>
      </x:c>
      <x:c r="E19" s="26" t="str">
        <x:v>현재 확인된 공급 사업 중심 범위를 넓혀야 함</x:v>
      </x:c>
      <x:c r="F19" s="26" t="str">
        <x:v>공급유형 코드·기관별 실적·하위 사업ID·원천일자</x:v>
      </x:c>
      <x:c r="G19" s="26" t="str">
        <x:v>조합인가·관리처분·이주·철거→착공 병목</x:v>
      </x:c>
      <x:c r="H19" s="26" t="str">
        <x:v>최상</x:v>
      </x:c>
      <x:c r="I19" s="26" t="str">
        <x:v>https://m.korea.kr/briefing/policyBriefingView.do?newsId=156785506</x:v>
      </x:c>
    </x:row>
    <x:row r="20" ht="46" customHeight="1">
      <x:c r="A20" s="26" t="str">
        <x:v>M15</x:v>
      </x:c>
      <x:c r="B20" s="26" t="str">
        <x:v>프로그램</x:v>
      </x:c>
      <x:c r="C20" s="26" t="str">
        <x:v>일반·민간주택 착공</x:v>
      </x:c>
      <x:c r="D20" s="26" t="str">
        <x:v>범위 확장</x:v>
      </x:c>
      <x:c r="E20" s="26" t="str">
        <x:v>현재 확인된 공급 사업 중심 범위를 넓혀야 함</x:v>
      </x:c>
      <x:c r="F20" s="26" t="str">
        <x:v>공급유형 코드·기관별 실적·하위 사업ID·원천일자</x:v>
      </x:c>
      <x:c r="G20" s="26" t="str">
        <x:v>법정 주택유형 표준 코드 연결</x:v>
      </x:c>
      <x:c r="H20" s="26" t="str">
        <x:v>높음</x:v>
      </x:c>
      <x:c r="I20" s="26" t="str">
        <x:v>https://m.korea.kr/briefing/policyBriefingView.do?newsId=156785506</x:v>
      </x:c>
    </x:row>
    <x:row r="21" ht="46" customHeight="1">
      <x:c r="A21" s="26" t="str">
        <x:v>M16</x:v>
      </x:c>
      <x:c r="B21" s="26" t="str">
        <x:v>프로그램</x:v>
      </x:c>
      <x:c r="C21" s="26" t="str">
        <x:v>공공분양 3분기 실적</x:v>
      </x:c>
      <x:c r="D21" s="26" t="str">
        <x:v>추가 설계</x:v>
      </x:c>
      <x:c r="E21" s="26" t="str">
        <x:v>지도·타임라인의 기본 구상은 있으나 자료구조/지표 확장이 필요</x:v>
      </x:c>
      <x:c r="F21" s="26" t="str">
        <x:v>공급유형 코드·기관별 실적·하위 사업ID·원천일자</x:v>
      </x:c>
      <x:c r="G21" s="26" t="str">
        <x:v>분양공고·청약·계약 세분화</x:v>
      </x:c>
      <x:c r="H21" s="26" t="str">
        <x:v>높음</x:v>
      </x:c>
      <x:c r="I21" s="26" t="str">
        <x:v>https://m.korea.kr/briefing/policyBriefingView.do?newsId=156785506</x:v>
      </x:c>
    </x:row>
    <x:row r="22" ht="46" customHeight="1">
      <x:c r="A22" s="26" t="str">
        <x:v>M17</x:v>
      </x:c>
      <x:c r="B22" s="26" t="str">
        <x:v>프로그램</x:v>
      </x:c>
      <x:c r="C22" s="26" t="str">
        <x:v>4분기 공공분양</x:v>
      </x:c>
      <x:c r="D22" s="26" t="str">
        <x:v>추가 설계</x:v>
      </x:c>
      <x:c r="E22" s="26" t="str">
        <x:v>지도·타임라인의 기본 구상은 있으나 자료구조/지표 확장이 필요</x:v>
      </x:c>
      <x:c r="F22" s="26" t="str">
        <x:v>공급유형 코드·기관별 실적·하위 사업ID·원천일자</x:v>
      </x:c>
      <x:c r="G22" s="26" t="str">
        <x:v>분양공고 실제일·취소/변경 추적</x:v>
      </x:c>
      <x:c r="H22" s="26" t="str">
        <x:v>최상</x:v>
      </x:c>
      <x:c r="I22" s="26" t="str">
        <x:v>https://m.korea.kr/briefing/policyBriefingView.do?newsId=156785506</x:v>
      </x:c>
    </x:row>
    <x:row r="23" ht="46" customHeight="1">
      <x:c r="A23" s="26" t="str">
        <x:v>M18</x:v>
      </x:c>
      <x:c r="B23" s="26" t="str">
        <x:v>프로그램</x:v>
      </x:c>
      <x:c r="C23" s="26" t="str">
        <x:v>4분기 3기 신도시 분양</x:v>
      </x:c>
      <x:c r="D23" s="26" t="str">
        <x:v>기획 반영</x:v>
      </x:c>
      <x:c r="E23" s="26" t="str">
        <x:v>현재 요구사항 매트릭스에서 직접 연결되는 화면·지표가 있음</x:v>
      </x:c>
      <x:c r="F23" s="26" t="str">
        <x:v>공급유형 코드·기관별 실적·하위 사업ID·원천일자</x:v>
      </x:c>
      <x:c r="G23" s="26" t="str">
        <x:v>착공실적과 별도 분양 KPI</x:v>
      </x:c>
      <x:c r="H23" s="26" t="str">
        <x:v>높음</x:v>
      </x:c>
      <x:c r="I23" s="26" t="str">
        <x:v>https://m.korea.kr/briefing/policyBriefingView.do?newsId=156785506</x:v>
      </x:c>
    </x:row>
    <x:row r="24" ht="46" customHeight="1">
      <x:c r="A24" s="26" t="str">
        <x:v>M19</x:v>
      </x:c>
      <x:c r="B24" s="26" t="str">
        <x:v>프로그램</x:v>
      </x:c>
      <x:c r="C24" s="26" t="str">
        <x:v>공공임대 3분기 모집</x:v>
      </x:c>
      <x:c r="D24" s="26" t="str">
        <x:v>추가 설계</x:v>
      </x:c>
      <x:c r="E24" s="26" t="str">
        <x:v>지도·타임라인의 기본 구상은 있으나 자료구조/지표 확장이 필요</x:v>
      </x:c>
      <x:c r="F24" s="26" t="str">
        <x:v>공급유형 코드·기관별 실적·하위 사업ID·원천일자</x:v>
      </x:c>
      <x:c r="G24" s="26" t="str">
        <x:v>모집공고 수량과 입주 수량 분리</x:v>
      </x:c>
      <x:c r="H24" s="26" t="str">
        <x:v>높음</x:v>
      </x:c>
      <x:c r="I24" s="26" t="str">
        <x:v>https://m.korea.kr/briefing/policyBriefingView.do?newsId=156785506</x:v>
      </x:c>
    </x:row>
    <x:row r="25" ht="46" customHeight="1">
      <x:c r="A25" s="26" t="str">
        <x:v>M20</x:v>
      </x:c>
      <x:c r="B25" s="26" t="str">
        <x:v>프로그램</x:v>
      </x:c>
      <x:c r="C25" s="26" t="str">
        <x:v>4분기 공공임대 모집</x:v>
      </x:c>
      <x:c r="D25" s="26" t="str">
        <x:v>추가 설계</x:v>
      </x:c>
      <x:c r="E25" s="26" t="str">
        <x:v>지도·타임라인의 기본 구상은 있으나 자료구조/지표 확장이 필요</x:v>
      </x:c>
      <x:c r="F25" s="26" t="str">
        <x:v>공급유형 코드·기관별 실적·하위 사업ID·원천일자</x:v>
      </x:c>
      <x:c r="G25" s="26" t="str">
        <x:v>사업별 모집 시작·종료·공고 URL</x:v>
      </x:c>
      <x:c r="H25" s="26" t="str">
        <x:v>높음</x:v>
      </x:c>
      <x:c r="I25" s="26" t="str">
        <x:v>https://m.korea.kr/briefing/policyBriefingView.do?newsId=156785506</x:v>
      </x:c>
    </x:row>
    <x:row r="26" ht="46" customHeight="1">
      <x:c r="A26" s="26" t="str">
        <x:v>M21</x:v>
      </x:c>
      <x:c r="B26" s="26" t="str">
        <x:v>정책</x:v>
      </x:c>
      <x:c r="C26" s="26" t="str">
        <x:v>4분기 총 입주자 모집</x:v>
      </x:c>
      <x:c r="D26" s="26" t="str">
        <x:v>추가 설계</x:v>
      </x:c>
      <x:c r="E26" s="26" t="str">
        <x:v>지도·타임라인의 기본 구상은 있으나 자료구조/지표 확장이 필요</x:v>
      </x:c>
      <x:c r="F26" s="26" t="str">
        <x:v>정책대책 버전·목표변경·집계정의·과제 증빙</x:v>
      </x:c>
      <x:c r="G26" s="26" t="str">
        <x:v>분양/임대 종별 필터</x:v>
      </x:c>
      <x:c r="H26" s="26" t="str">
        <x:v>높음</x:v>
      </x:c>
      <x:c r="I26" s="26" t="str">
        <x:v>https://m.korea.kr/briefing/policyBriefingView.do?newsId=156785506</x:v>
      </x:c>
    </x:row>
    <x:row r="27" ht="46" customHeight="1">
      <x:c r="A27" s="26" t="str">
        <x:v>M22</x:v>
      </x:c>
      <x:c r="B27" s="26" t="str">
        <x:v>정책</x:v>
      </x:c>
      <x:c r="C27" s="26" t="str">
        <x:v>공적주택 실제 입주 목표</x:v>
      </x:c>
      <x:c r="D27" s="26" t="str">
        <x:v>추가 설계</x:v>
      </x:c>
      <x:c r="E27" s="26" t="str">
        <x:v>지도·타임라인의 기본 구상은 있으나 자료구조/지표 확장이 필요</x:v>
      </x:c>
      <x:c r="F27" s="26" t="str">
        <x:v>정책대책 버전·목표변경·집계정의·과제 증빙</x:v>
      </x:c>
      <x:c r="G27" s="26" t="str">
        <x:v>분양/임대 대상자 모집과 실제 입주 비교</x:v>
      </x:c>
      <x:c r="H27" s="26" t="str">
        <x:v>최상</x:v>
      </x:c>
      <x:c r="I27" s="26" t="str">
        <x:v>https://m.korea.kr/briefing/policyBriefingView.do?newsId=156785506</x:v>
      </x:c>
    </x:row>
    <x:row r="28" ht="46" customHeight="1">
      <x:c r="A28" s="26" t="str">
        <x:v>M23</x:v>
      </x:c>
      <x:c r="B28" s="26" t="str">
        <x:v>정책</x:v>
      </x:c>
      <x:c r="C28" s="26" t="str">
        <x:v>8·13 후속 과제 전체</x:v>
      </x:c>
      <x:c r="D28" s="26" t="str">
        <x:v>기획 반영</x:v>
      </x:c>
      <x:c r="E28" s="26" t="str">
        <x:v>현재 요구사항 매트릭스에서 직접 연결되는 화면·지표가 있음</x:v>
      </x:c>
      <x:c r="F28" s="26" t="str">
        <x:v>정책대책 버전·목표변경·집계정의·과제 증빙</x:v>
      </x:c>
      <x:c r="G28" s="26" t="str">
        <x:v>과제-프로그램-사업 다대다 연계</x:v>
      </x:c>
      <x:c r="H28" s="26" t="str">
        <x:v>최상</x:v>
      </x:c>
      <x:c r="I28" s="26" t="str">
        <x:v>https://m.korea.kr/briefing/policyBriefingView.do?newsId=156785506</x:v>
      </x:c>
    </x:row>
    <x:row r="29" ht="46" customHeight="1">
      <x:c r="A29" s="26" t="str">
        <x:v>M24</x:v>
      </x:c>
      <x:c r="B29" s="26" t="str">
        <x:v>정책</x:v>
      </x:c>
      <x:c r="C29" s="26" t="str">
        <x:v>8·13 후속 과제 완료</x:v>
      </x:c>
      <x:c r="D29" s="26" t="str">
        <x:v>기획 반영</x:v>
      </x:c>
      <x:c r="E29" s="26" t="str">
        <x:v>현재 요구사항 매트릭스에서 직접 연결되는 화면·지표가 있음</x:v>
      </x:c>
      <x:c r="F29" s="26" t="str">
        <x:v>정책대책 버전·목표변경·집계정의·과제 증빙</x:v>
      </x:c>
      <x:c r="G29" s="26" t="str">
        <x:v>완료 증빙·근거법령·담당자</x:v>
      </x:c>
      <x:c r="H29" s="26" t="str">
        <x:v>최상</x:v>
      </x:c>
      <x:c r="I29" s="26" t="str">
        <x:v>https://m.korea.kr/briefing/policyBriefingView.do?newsId=156785506</x:v>
      </x:c>
    </x:row>
    <x:row r="30" ht="46" customHeight="1">
      <x:c r="A30" s="26" t="str">
        <x:v>M25</x:v>
      </x:c>
      <x:c r="B30" s="26" t="str">
        <x:v>정책</x:v>
      </x:c>
      <x:c r="C30" s="26" t="str">
        <x:v>8·13 후속 과제 추진</x:v>
      </x:c>
      <x:c r="D30" s="26" t="str">
        <x:v>기획 반영</x:v>
      </x:c>
      <x:c r="E30" s="26" t="str">
        <x:v>현재 요구사항 매트릭스에서 직접 연결되는 화면·지표가 있음</x:v>
      </x:c>
      <x:c r="F30" s="26" t="str">
        <x:v>정책대책 버전·목표변경·집계정의·과제 증빙</x:v>
      </x:c>
      <x:c r="G30" s="26" t="str">
        <x:v>정상/지연/위험 기준 및 변경이력</x:v>
      </x:c>
      <x:c r="H30" s="26" t="str">
        <x:v>높음</x:v>
      </x:c>
      <x:c r="I30" s="26" t="str">
        <x:v>https://m.korea.kr/briefing/policyBriefingView.do?newsId=156785506</x:v>
      </x:c>
    </x:row>
    <x:row r="31" ht="46" customHeight="1">
      <x:c r="A31" s="26" t="str">
        <x:v>M26</x:v>
      </x:c>
      <x:c r="B31" s="26" t="str">
        <x:v>기관/병목</x:v>
      </x:c>
      <x:c r="C31" s="26" t="str">
        <x:v>PF 집중관리 사업장</x:v>
      </x:c>
      <x:c r="D31" s="26" t="str">
        <x:v>자료 연계 필요</x:v>
      </x:c>
      <x:c r="E31" s="26" t="str">
        <x:v>관련 원천데이터 확보와 매핑 검증이 선행되어야 함</x:v>
      </x:c>
      <x:c r="F31" s="26" t="str">
        <x:v>인허가·PF 애로관리카드·관계기관·조치완료일</x:v>
      </x:c>
      <x:c r="G31" s="26" t="str">
        <x:v>PF 자금조달 위험도·해결시간</x:v>
      </x:c>
      <x:c r="H31" s="26" t="str">
        <x:v>최상</x:v>
      </x:c>
      <x:c r="I31" s="26" t="str">
        <x:v>https://m.korea.kr/briefing/policyBriefingView.do?newsId=156785506</x:v>
      </x:c>
    </x:row>
    <x:row r="32" ht="46" customHeight="1">
      <x:c r="A32" s="26" t="str">
        <x:v>M27</x:v>
      </x:c>
      <x:c r="B32" s="26" t="str">
        <x:v>기관/병목</x:v>
      </x:c>
      <x:c r="C32" s="26" t="str">
        <x:v>통합 지원센터</x:v>
      </x:c>
      <x:c r="D32" s="26" t="str">
        <x:v>기획 반영</x:v>
      </x:c>
      <x:c r="E32" s="26" t="str">
        <x:v>현재 요구사항 매트릭스에서 직접 연결되는 화면·지표가 있음</x:v>
      </x:c>
      <x:c r="F32" s="26" t="str">
        <x:v>인허가·PF 애로관리카드·관계기관·조치완료일</x:v>
      </x:c>
      <x:c r="G32" s="26" t="str">
        <x:v>이슈 등록→조치→해소 SLA 및 리드타임</x:v>
      </x:c>
      <x:c r="H32" s="26" t="str">
        <x:v>높음</x:v>
      </x:c>
      <x:c r="I32" s="26" t="str">
        <x:v>https://m.korea.kr/briefing/policyBriefingView.do?newsId=156785506</x:v>
      </x:c>
    </x:row>
    <x:row r="33" ht="46" customHeight="1">
      <x:c r="A33" s="26" t="str">
        <x:v>M28</x:v>
      </x:c>
      <x:c r="B33" s="26" t="str">
        <x:v>운영</x:v>
      </x:c>
      <x:c r="C33" s="26" t="str">
        <x:v>공급 정례브리핑</x:v>
      </x:c>
      <x:c r="D33" s="26" t="str">
        <x:v>기획 반영</x:v>
      </x:c>
      <x:c r="E33" s="26" t="str">
        <x:v>현재 요구사항 매트릭스에서 직접 연결되는 화면·지표가 있음</x:v>
      </x:c>
      <x:c r="F33" s="26" t="str">
        <x:v>정부 공식 발표 스냅샷·갱신 주기·발표 시점</x:v>
      </x:c>
      <x:c r="G33" s="26" t="str">
        <x:v>브리핑 발표일 기준 데이터 스냅샷 보존</x:v>
      </x:c>
      <x:c r="H33" s="26" t="str">
        <x:v>높음</x:v>
      </x:c>
      <x:c r="I33" s="26" t="str">
        <x:v>https://m.korea.kr/briefing/policyBriefingView.do?newsId=156785506</x:v>
      </x:c>
    </x:row>
    <x:row r="34" ht="46" customHeight="1">
      <x:c r="A34" s="26" t="str">
        <x:v>M29</x:v>
      </x:c>
      <x:c r="B34" s="26" t="str">
        <x:v>운영</x:v>
      </x:c>
      <x:c r="C34" s="26" t="str">
        <x:v>정부 디지털 상황판</x:v>
      </x:c>
      <x:c r="D34" s="26" t="str">
        <x:v>추가 설계</x:v>
      </x:c>
      <x:c r="E34" s="26" t="str">
        <x:v>지도·타임라인의 기본 구상은 있으나 자료구조/지표 확장이 필요</x:v>
      </x:c>
      <x:c r="F34" s="26" t="str">
        <x:v>정부 공식 발표 스냅샷·갱신 주기·발표 시점</x:v>
      </x:c>
      <x:c r="G34" s="26" t="str">
        <x:v>정부 상황판과 역할 구분, 근거·예측 엔진 특화</x:v>
      </x:c>
      <x:c r="H34" s="26" t="str">
        <x:v>최상</x:v>
      </x:c>
      <x:c r="I34" s="26" t="str">
        <x:v>https://m.korea.kr/news/policyNewsView.do?newsId=148973657</x:v>
      </x:c>
    </x:row>
    <x:row r="35" ht="46" customHeight="1">
      <x:c r="A35" s="26" t="str">
        <x:v>M30</x:v>
      </x:c>
      <x:c r="B35" s="26" t="str">
        <x:v>지역/시장</x:v>
      </x:c>
      <x:c r="C35" s="26" t="str">
        <x:v>서울 인허가 개선</x:v>
      </x:c>
      <x:c r="D35" s="26" t="str">
        <x:v>추가 설계</x:v>
      </x:c>
      <x:c r="E35" s="26" t="str">
        <x:v>지도·타임라인의 기본 구상은 있으나 자료구조/지표 확장이 필요</x:v>
      </x:c>
      <x:c r="F35" s="26" t="str">
        <x:v>한국부동산원·국토부 등 지표 기준일·지역ID</x:v>
      </x:c>
      <x:c r="G35" s="26" t="str">
        <x:v>공급 사이클(허가→착공) 분석</x:v>
      </x:c>
      <x:c r="H35" s="26" t="str">
        <x:v>높음</x:v>
      </x:c>
      <x:c r="I35" s="26" t="str">
        <x:v>https://m.korea.kr/briefing/policyBriefingView.do?newsId=156785506</x:v>
      </x:c>
    </x:row>
    <x:row r="36" ht="46" customHeight="1">
      <x:c r="A36" s="26" t="str">
        <x:v>M31</x:v>
      </x:c>
      <x:c r="B36" s="26" t="str">
        <x:v>지역/시장</x:v>
      </x:c>
      <x:c r="C36" s="26" t="str">
        <x:v>서울 착공 개선</x:v>
      </x:c>
      <x:c r="D36" s="26" t="str">
        <x:v>기획 반영</x:v>
      </x:c>
      <x:c r="E36" s="26" t="str">
        <x:v>현재 요구사항 매트릭스에서 직접 연결되는 화면·지표가 있음</x:v>
      </x:c>
      <x:c r="F36" s="26" t="str">
        <x:v>한국부동산원·국토부 등 지표 기준일·지역ID</x:v>
      </x:c>
      <x:c r="G36" s="26" t="str">
        <x:v>전년대비 증감률·기간동기 비교</x:v>
      </x:c>
      <x:c r="H36" s="26" t="str">
        <x:v>높음</x:v>
      </x:c>
      <x:c r="I36" s="26" t="str">
        <x:v>https://m.korea.kr/briefing/policyBriefingView.do?newsId=156785506</x:v>
      </x:c>
    </x:row>
    <x:row r="37" ht="46" customHeight="1">
      <x:c r="A37" s="26" t="str">
        <x:v>M32</x:v>
      </x:c>
      <x:c r="B37" s="26" t="str">
        <x:v>지역/시장</x:v>
      </x:c>
      <x:c r="C37" s="26" t="str">
        <x:v>서울 소규모 일반주택 인허가</x:v>
      </x:c>
      <x:c r="D37" s="26" t="str">
        <x:v>범위 확장</x:v>
      </x:c>
      <x:c r="E37" s="26" t="str">
        <x:v>현재 확인된 공급 사업 중심 범위를 넓혀야 함</x:v>
      </x:c>
      <x:c r="F37" s="26" t="str">
        <x:v>한국부동산원·국토부 등 지표 기준일·지역ID</x:v>
      </x:c>
      <x:c r="G37" s="26" t="str">
        <x:v>시공유형별 전년비·수요변화</x:v>
      </x:c>
      <x:c r="H37" s="26" t="str">
        <x:v>보통</x:v>
      </x:c>
      <x:c r="I37" s="26" t="str">
        <x:v>https://m.korea.kr/briefing/policyBriefingView.do?newsId=156785506</x:v>
      </x:c>
    </x:row>
    <x:row r="38" ht="46" customHeight="1">
      <x:c r="A38" s="26" t="str">
        <x:v>M33</x:v>
      </x:c>
      <x:c r="B38" s="26" t="str">
        <x:v>지역/시장</x:v>
      </x:c>
      <x:c r="C38" s="26" t="str">
        <x:v>서울 소규모 일반주택 착공</x:v>
      </x:c>
      <x:c r="D38" s="26" t="str">
        <x:v>범위 확장</x:v>
      </x:c>
      <x:c r="E38" s="26" t="str">
        <x:v>현재 확인된 공급 사업 중심 범위를 넓혀야 함</x:v>
      </x:c>
      <x:c r="F38" s="26" t="str">
        <x:v>한국부동산원·국토부 등 지표 기준일·지역ID</x:v>
      </x:c>
      <x:c r="G38" s="26" t="str">
        <x:v>시공유형별 실제 입주 예상시기</x:v>
      </x:c>
      <x:c r="H38" s="26" t="str">
        <x:v>보통</x:v>
      </x:c>
      <x:c r="I38" s="26" t="str">
        <x:v>https://m.korea.kr/briefing/policyBriefingView.do?newsId=156785506</x:v>
      </x:c>
    </x:row>
    <x:row r="39" ht="46" customHeight="1">
      <x:c r="A39" s="26" t="str">
        <x:v>M34</x:v>
      </x:c>
      <x:c r="B39" s="26" t="str">
        <x:v>지역/시장</x:v>
      </x:c>
      <x:c r="C39" s="26" t="str">
        <x:v>주택 매매 소비심리</x:v>
      </x:c>
      <x:c r="D39" s="26" t="str">
        <x:v>범위 확장</x:v>
      </x:c>
      <x:c r="E39" s="26" t="str">
        <x:v>현재 확인된 공급 사업 중심 범위를 넓혀야 함</x:v>
      </x:c>
      <x:c r="F39" s="26" t="str">
        <x:v>한국부동산원·국토부 등 지표 기준일·지역ID</x:v>
      </x:c>
      <x:c r="G39" s="26" t="str">
        <x:v>공급진행률과 시차·상관 시각화</x:v>
      </x:c>
      <x:c r="H39" s="26" t="str">
        <x:v>보통</x:v>
      </x:c>
      <x:c r="I39" s="26" t="str">
        <x:v>https://m.korea.kr/briefing/policyBriefingView.do?newsId=156785506</x:v>
      </x:c>
    </x:row>
    <x:row r="40" ht="46" customHeight="1">
      <x:c r="A40" s="26" t="str">
        <x:v>M35</x:v>
      </x:c>
      <x:c r="B40" s="26" t="str">
        <x:v>정책</x:v>
      </x:c>
      <x:c r="C40" s="26" t="str">
        <x:v>보편형 공공임대 추진</x:v>
      </x:c>
      <x:c r="D40" s="26" t="str">
        <x:v>범위 확장</x:v>
      </x:c>
      <x:c r="E40" s="26" t="str">
        <x:v>현재 확인된 공급 사업 중심 범위를 넓혀야 함</x:v>
      </x:c>
      <x:c r="F40" s="26" t="str">
        <x:v>정책대책 버전·목표변경·집계정의·과제 증빙</x:v>
      </x:c>
      <x:c r="G40" s="26" t="str">
        <x:v>공급 정의·재원·정기계획 업데이트</x:v>
      </x:c>
      <x:c r="H40" s="26" t="str">
        <x:v>보통</x:v>
      </x:c>
      <x:c r="I40" s="26" t="str">
        <x:v>https://m.korea.kr/briefing/policyBriefingView.do?newsId=156785506</x:v>
      </x:c>
    </x:row>
    <x:row r="41" ht="46" customHeight="1">
      <x:c r="A41" s="26" t="str">
        <x:v>M36</x:v>
      </x:c>
      <x:c r="B41" s="26" t="str">
        <x:v>정책</x:v>
      </x:c>
      <x:c r="C41" s="26" t="str">
        <x:v>장기 민간임대 생태계</x:v>
      </x:c>
      <x:c r="D41" s="26" t="str">
        <x:v>범위 확장</x:v>
      </x:c>
      <x:c r="E41" s="26" t="str">
        <x:v>현재 확인된 공급 사업 중심 범위를 넓혀야 함</x:v>
      </x:c>
      <x:c r="F41" s="26" t="str">
        <x:v>정책대책 버전·목표변경·집계정의·과제 증빙</x:v>
      </x:c>
      <x:c r="G41" s="26" t="str">
        <x:v>제도완료 vs 실제 임대 공급 구분</x:v>
      </x:c>
      <x:c r="H41" s="26" t="str">
        <x:v>보통</x:v>
      </x:c>
      <x:c r="I41" s="26" t="str">
        <x:v>https://m.korea.kr/briefing/policyBriefingView.do?newsId=156785506</x:v>
      </x:c>
    </x:row>
    <x:row r="42" ht="46" customHeight="1">
      <x:c r="A42" s="26" t="str">
        <x:v>M37</x:v>
      </x:c>
      <x:c r="B42" s="26" t="str">
        <x:v>운영</x:v>
      </x:c>
      <x:c r="C42" s="26" t="str">
        <x:v>연말 집중 착공 리스크</x:v>
      </x:c>
      <x:c r="D42" s="26" t="str">
        <x:v>추가 설계</x:v>
      </x:c>
      <x:c r="E42" s="26" t="str">
        <x:v>지도·타임라인의 기본 구상은 있으나 자료구조/지표 확장이 필요</x:v>
      </x:c>
      <x:c r="F42" s="26" t="str">
        <x:v>정부 공식 발표 스냅샷·갱신 주기·발표 시점</x:v>
      </x:c>
      <x:c r="G42" s="26" t="str">
        <x:v>착공 예정 Q4 집중도·선행 인허가 미완료 건</x:v>
      </x:c>
      <x:c r="H42" s="26" t="str">
        <x:v>최상</x:v>
      </x:c>
      <x:c r="I42" s="26" t="str">
        <x:v>https://m.korea.kr/briefing/policyBriefingView.do?newsId=156785506</x:v>
      </x:c>
    </x:row>
  </x:sheetData>
  <x:mergeCells>
    <x:mergeCell ref="A1:I2"/>
    <x:mergeCell ref="A3:I3"/>
  </x:mergeCells>
  <x:conditionalFormatting sqref="D6:D42">
    <x:cfRule type="expression" dxfId="7" priority="1">
      <x:formula>$D6="기획 반영"</x:formula>
    </x:cfRule>
    <x:cfRule type="expression" dxfId="8" priority="2">
      <x:formula>$D6="추가 설계"</x:formula>
    </x:cfRule>
    <x:cfRule type="expression" dxfId="9" priority="3">
      <x:formula>$D6="자료 연계 필요"</x:formula>
    </x:cfRule>
    <x:cfRule type="expression" dxfId="10" priority="4">
      <x:formula>$D6="범위 확장"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16461a41ff4dca"/>
  </x:tableParts>
</x:worksheet>
</file>