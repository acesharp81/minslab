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11171\Desktop\정보공개\1. 정보공개\사전정보공표\취합\하반기\자료제출\"/>
    </mc:Choice>
  </mc:AlternateContent>
  <xr:revisionPtr revIDLastSave="0" documentId="8_{6F1C3F83-FEB5-4289-9659-118B99F2C52B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Sheet1!$A$4:$W$111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11" i="1" l="1"/>
  <c r="M111" i="1"/>
  <c r="T110" i="1"/>
  <c r="M110" i="1"/>
  <c r="T109" i="1"/>
  <c r="M109" i="1"/>
  <c r="T108" i="1"/>
  <c r="M108" i="1"/>
  <c r="T107" i="1"/>
  <c r="M107" i="1"/>
  <c r="T106" i="1"/>
  <c r="M106" i="1"/>
  <c r="T104" i="1"/>
  <c r="M104" i="1"/>
  <c r="T103" i="1"/>
  <c r="M103" i="1"/>
  <c r="T102" i="1"/>
  <c r="M102" i="1"/>
  <c r="T101" i="1"/>
  <c r="M101" i="1"/>
  <c r="T100" i="1"/>
  <c r="M100" i="1"/>
  <c r="T99" i="1"/>
  <c r="M99" i="1"/>
  <c r="T98" i="1"/>
  <c r="M98" i="1"/>
  <c r="T97" i="1"/>
  <c r="M97" i="1"/>
  <c r="T96" i="1"/>
  <c r="M96" i="1"/>
  <c r="T95" i="1"/>
  <c r="M95" i="1"/>
  <c r="T94" i="1"/>
  <c r="M94" i="1"/>
  <c r="T93" i="1"/>
  <c r="M93" i="1"/>
  <c r="T92" i="1"/>
  <c r="M92" i="1"/>
  <c r="T91" i="1"/>
  <c r="M91" i="1"/>
  <c r="T90" i="1"/>
  <c r="M90" i="1"/>
  <c r="T89" i="1"/>
  <c r="M89" i="1"/>
  <c r="T88" i="1"/>
  <c r="M88" i="1"/>
  <c r="T87" i="1"/>
  <c r="M87" i="1"/>
  <c r="T86" i="1"/>
  <c r="M86" i="1"/>
  <c r="T85" i="1"/>
  <c r="M85" i="1"/>
  <c r="T84" i="1"/>
  <c r="M84" i="1"/>
  <c r="T83" i="1"/>
  <c r="M83" i="1"/>
  <c r="T82" i="1"/>
  <c r="M82" i="1"/>
  <c r="T81" i="1"/>
  <c r="M81" i="1"/>
  <c r="T80" i="1"/>
  <c r="M80" i="1"/>
  <c r="T79" i="1"/>
  <c r="M79" i="1"/>
  <c r="T78" i="1"/>
  <c r="M78" i="1"/>
  <c r="T77" i="1"/>
  <c r="M77" i="1"/>
  <c r="T76" i="1"/>
  <c r="M76" i="1"/>
  <c r="T75" i="1"/>
  <c r="M75" i="1"/>
  <c r="T74" i="1"/>
  <c r="M74" i="1"/>
  <c r="T73" i="1"/>
  <c r="M73" i="1"/>
  <c r="T72" i="1"/>
  <c r="M72" i="1"/>
  <c r="T71" i="1"/>
  <c r="M71" i="1"/>
  <c r="T70" i="1"/>
  <c r="M70" i="1"/>
  <c r="T69" i="1"/>
  <c r="M69" i="1"/>
  <c r="T68" i="1"/>
  <c r="M68" i="1"/>
  <c r="T67" i="1"/>
  <c r="M67" i="1"/>
  <c r="T66" i="1"/>
  <c r="M66" i="1"/>
  <c r="T65" i="1"/>
  <c r="M65" i="1"/>
  <c r="T64" i="1"/>
  <c r="M64" i="1"/>
  <c r="T63" i="1"/>
  <c r="M63" i="1"/>
  <c r="T62" i="1"/>
  <c r="M62" i="1"/>
  <c r="T61" i="1"/>
  <c r="M61" i="1"/>
  <c r="T60" i="1"/>
  <c r="M60" i="1"/>
  <c r="T59" i="1"/>
  <c r="M59" i="1"/>
  <c r="T58" i="1"/>
  <c r="M58" i="1"/>
  <c r="T57" i="1"/>
  <c r="M57" i="1"/>
  <c r="T56" i="1"/>
  <c r="M56" i="1"/>
  <c r="T55" i="1"/>
  <c r="M55" i="1"/>
  <c r="T53" i="1"/>
  <c r="M53" i="1"/>
  <c r="T52" i="1"/>
  <c r="M52" i="1"/>
  <c r="T51" i="1"/>
  <c r="M51" i="1"/>
  <c r="T50" i="1"/>
  <c r="M50" i="1"/>
  <c r="T49" i="1"/>
  <c r="M49" i="1"/>
  <c r="T48" i="1"/>
  <c r="M48" i="1"/>
  <c r="T47" i="1"/>
  <c r="M47" i="1"/>
  <c r="T46" i="1"/>
  <c r="M46" i="1"/>
  <c r="T45" i="1"/>
  <c r="M45" i="1"/>
  <c r="T44" i="1"/>
  <c r="M44" i="1"/>
  <c r="T43" i="1"/>
  <c r="M43" i="1"/>
  <c r="T42" i="1"/>
  <c r="M42" i="1"/>
  <c r="T41" i="1"/>
  <c r="M41" i="1"/>
  <c r="T40" i="1"/>
  <c r="M40" i="1"/>
  <c r="T39" i="1"/>
  <c r="M39" i="1"/>
  <c r="T38" i="1"/>
  <c r="M38" i="1"/>
  <c r="T37" i="1"/>
  <c r="M37" i="1"/>
  <c r="T36" i="1"/>
  <c r="M36" i="1"/>
  <c r="T35" i="1"/>
  <c r="M35" i="1"/>
  <c r="T34" i="1"/>
  <c r="M34" i="1"/>
  <c r="T33" i="1"/>
  <c r="M33" i="1"/>
  <c r="T32" i="1"/>
  <c r="M32" i="1"/>
  <c r="T31" i="1"/>
  <c r="M31" i="1"/>
  <c r="T30" i="1"/>
  <c r="M30" i="1"/>
  <c r="T29" i="1"/>
  <c r="M29" i="1"/>
  <c r="T28" i="1"/>
  <c r="M28" i="1"/>
  <c r="T27" i="1"/>
  <c r="M27" i="1"/>
  <c r="T26" i="1"/>
  <c r="M26" i="1"/>
  <c r="T25" i="1"/>
  <c r="M25" i="1"/>
  <c r="T24" i="1"/>
  <c r="M24" i="1"/>
  <c r="T23" i="1"/>
  <c r="M23" i="1"/>
  <c r="T22" i="1"/>
  <c r="M22" i="1"/>
  <c r="T21" i="1"/>
  <c r="M21" i="1"/>
  <c r="T20" i="1"/>
  <c r="M20" i="1"/>
  <c r="T19" i="1"/>
  <c r="M19" i="1"/>
  <c r="T18" i="1"/>
  <c r="M18" i="1"/>
  <c r="T17" i="1"/>
  <c r="M17" i="1"/>
  <c r="T16" i="1"/>
  <c r="M16" i="1"/>
  <c r="T15" i="1"/>
  <c r="M15" i="1"/>
  <c r="T14" i="1"/>
  <c r="M14" i="1"/>
  <c r="T12" i="1"/>
  <c r="M12" i="1"/>
  <c r="T11" i="1"/>
  <c r="M11" i="1"/>
  <c r="T10" i="1"/>
  <c r="M10" i="1"/>
  <c r="T9" i="1"/>
  <c r="M9" i="1"/>
  <c r="T8" i="1"/>
  <c r="M8" i="1"/>
  <c r="T7" i="1"/>
  <c r="M7" i="1"/>
  <c r="T6" i="1"/>
  <c r="M6" i="1"/>
  <c r="T5" i="1"/>
  <c r="M5" i="1"/>
</calcChain>
</file>

<file path=xl/sharedStrings.xml><?xml version="1.0" encoding="utf-8"?>
<sst xmlns="http://schemas.openxmlformats.org/spreadsheetml/2006/main" count="1164" uniqueCount="415">
  <si>
    <t>공급년도</t>
    <phoneticPr fontId="3" type="noConversion"/>
  </si>
  <si>
    <t>세대수</t>
    <phoneticPr fontId="3" type="noConversion"/>
  </si>
  <si>
    <t>모집공고일</t>
    <phoneticPr fontId="3" type="noConversion"/>
  </si>
  <si>
    <t>공급유형별 합계</t>
    <phoneticPr fontId="3" type="noConversion"/>
  </si>
  <si>
    <t>사전청약 당첨자</t>
    <phoneticPr fontId="3" type="noConversion"/>
  </si>
  <si>
    <t>특별공급</t>
    <phoneticPr fontId="3" type="noConversion"/>
  </si>
  <si>
    <t>일반공급</t>
  </si>
  <si>
    <t>이주자</t>
    <phoneticPr fontId="3" type="noConversion"/>
  </si>
  <si>
    <t>특별공급(계)</t>
    <phoneticPr fontId="3" type="noConversion"/>
  </si>
  <si>
    <t>다자녀</t>
    <phoneticPr fontId="3" type="noConversion"/>
  </si>
  <si>
    <t>신혼부부</t>
  </si>
  <si>
    <t>생애최초</t>
  </si>
  <si>
    <t>노부모</t>
  </si>
  <si>
    <t>신생아</t>
    <phoneticPr fontId="3" type="noConversion"/>
  </si>
  <si>
    <t>협의양도인</t>
    <phoneticPr fontId="3" type="noConversion"/>
  </si>
  <si>
    <t>기타특별(D=A+B)</t>
    <phoneticPr fontId="3" type="noConversion"/>
  </si>
  <si>
    <t>국가유공자,보훈대상자(A)</t>
    <phoneticPr fontId="3" type="noConversion"/>
  </si>
  <si>
    <t>기타특별, 기관추천(B)</t>
    <phoneticPr fontId="3" type="noConversion"/>
  </si>
  <si>
    <t>공급유형별 호수</t>
    <phoneticPr fontId="3" type="noConversion"/>
  </si>
  <si>
    <t>주소</t>
    <phoneticPr fontId="3" type="noConversion"/>
  </si>
  <si>
    <t>시도</t>
    <phoneticPr fontId="3" type="noConversion"/>
  </si>
  <si>
    <t>최초입주시기</t>
    <phoneticPr fontId="3" type="noConversion"/>
  </si>
  <si>
    <t>사업지구</t>
    <phoneticPr fontId="3" type="noConversion"/>
  </si>
  <si>
    <t>블록</t>
    <phoneticPr fontId="3" type="noConversion"/>
  </si>
  <si>
    <t>2020</t>
  </si>
  <si>
    <t>인천대헌(08,주환2)</t>
  </si>
  <si>
    <t>1</t>
  </si>
  <si>
    <t>인천광역시</t>
  </si>
  <si>
    <t>인천광역시 동구 송림동 37-10, 2번지 일원 대헌학교뒤,송림4구역 주거환경개선사업지구 내 1블록</t>
  </si>
  <si>
    <t>공공분양</t>
  </si>
  <si>
    <t>20200416</t>
  </si>
  <si>
    <t>202106</t>
  </si>
  <si>
    <t/>
  </si>
  <si>
    <t>동두천송내(행복)</t>
  </si>
  <si>
    <t>S1</t>
  </si>
  <si>
    <t>경기도</t>
  </si>
  <si>
    <t>경기도 동두천시 송내동 664-1</t>
  </si>
  <si>
    <t>20200529</t>
  </si>
  <si>
    <t>202109</t>
  </si>
  <si>
    <t>평택고덕국제화계획</t>
  </si>
  <si>
    <t>Aa-39</t>
  </si>
  <si>
    <t>경기도 평택시 고덕율포1로 10 (고덕동)</t>
  </si>
  <si>
    <t>20200626</t>
  </si>
  <si>
    <t>202211</t>
  </si>
  <si>
    <t>하남감일(10,보금1)</t>
  </si>
  <si>
    <t>B-1</t>
  </si>
  <si>
    <t>경기도 하남시 감일동 신우실로 15. 감일스윗시티2단지</t>
  </si>
  <si>
    <t>20200728</t>
  </si>
  <si>
    <t>202105</t>
  </si>
  <si>
    <t>충주호암</t>
  </si>
  <si>
    <t>A1</t>
  </si>
  <si>
    <t>충청북도</t>
  </si>
  <si>
    <t>충청북도 충주시 호암동 1050</t>
  </si>
  <si>
    <t>20200831</t>
  </si>
  <si>
    <t>화성봉담2(07,택1)</t>
  </si>
  <si>
    <t>A-2</t>
  </si>
  <si>
    <t>경기도 화성시 봉담읍 상리 679, 화성봉담2지구 A-2블록 신혼희망타운</t>
  </si>
  <si>
    <t>신혼희망타운</t>
  </si>
  <si>
    <t>20200904</t>
  </si>
  <si>
    <t>202210</t>
  </si>
  <si>
    <t>화성능동</t>
  </si>
  <si>
    <t>경기도 화성시 능동 591-4, 화성능동 B-1블록</t>
  </si>
  <si>
    <t>20200924</t>
  </si>
  <si>
    <t>202306</t>
  </si>
  <si>
    <t>위례</t>
  </si>
  <si>
    <t>A3-3a</t>
  </si>
  <si>
    <t>경기도 하남시 위례대로6길 77 (학암동,위례아너스포레)</t>
  </si>
  <si>
    <t>20201008</t>
  </si>
  <si>
    <t>202502</t>
  </si>
  <si>
    <t>부산범천2</t>
  </si>
  <si>
    <t>01</t>
  </si>
  <si>
    <t>부산광역시</t>
  </si>
  <si>
    <t>부산광역시 부산진구 범천동 1123-124번지 일원</t>
  </si>
  <si>
    <t>지구주민</t>
  </si>
  <si>
    <t>20201117</t>
  </si>
  <si>
    <t>202401</t>
  </si>
  <si>
    <t>시흥장현(06,택(GB))</t>
  </si>
  <si>
    <t>A-9</t>
  </si>
  <si>
    <t>경기도 시흥시 황고개로 469 (장곡동)</t>
  </si>
  <si>
    <t>20201127</t>
  </si>
  <si>
    <t>202309</t>
  </si>
  <si>
    <t>계룡대실</t>
  </si>
  <si>
    <t>2BL</t>
  </si>
  <si>
    <t>충청남도</t>
  </si>
  <si>
    <t>충청남도 계룡시 두마면 농소리 972번지</t>
  </si>
  <si>
    <t>20201209</t>
  </si>
  <si>
    <t>202111</t>
  </si>
  <si>
    <t>양주회천(택)</t>
  </si>
  <si>
    <t>A17</t>
  </si>
  <si>
    <t>경기도 양주시 덕계동 일원 양주회천 택지개발지구 내 A17블록</t>
  </si>
  <si>
    <t>20201218</t>
  </si>
  <si>
    <t>202212</t>
  </si>
  <si>
    <t>Ab-3</t>
  </si>
  <si>
    <t>경기도 평택시 고덕국제2로 190 (고덕동)</t>
  </si>
  <si>
    <t>20201229</t>
  </si>
  <si>
    <t>고양지축</t>
  </si>
  <si>
    <t>경기도 고양시 덕양구 오부자로 120 (지축동)</t>
  </si>
  <si>
    <t>202307</t>
  </si>
  <si>
    <t>고양장항</t>
  </si>
  <si>
    <t>A-4</t>
  </si>
  <si>
    <t>경기도 고양시 일산동구 장항동 장항동 일원 고양장항 공공주택지구내 A-4블록</t>
  </si>
  <si>
    <t>202403</t>
  </si>
  <si>
    <t>A-5</t>
  </si>
  <si>
    <t>경기도 고양시 일산동구 장항동 장항동 일원 고양장항 공공주택지구내 A-5블록</t>
  </si>
  <si>
    <t>위례A2-6</t>
  </si>
  <si>
    <t>A2-6</t>
  </si>
  <si>
    <t>경기도 성남시 수정구 창곡동 위례지구 A2-6블록</t>
  </si>
  <si>
    <t>202410</t>
  </si>
  <si>
    <t>의정부고산(08,국민)</t>
  </si>
  <si>
    <t>S3</t>
  </si>
  <si>
    <t>경기도 의정부시 고산동 ,민락동,산곡동 일원 의정부고산 S3블록</t>
  </si>
  <si>
    <t>20201230</t>
  </si>
  <si>
    <t>과천지식정보타운</t>
  </si>
  <si>
    <t>S-3</t>
  </si>
  <si>
    <t>경기도 과천시 갈현동 , 문원동 일원 과천지식정보타운 공공주택지구 내 S-3블록</t>
  </si>
  <si>
    <t>20201231</t>
  </si>
  <si>
    <t>202402</t>
  </si>
  <si>
    <t>S-7(신혼)</t>
  </si>
  <si>
    <t>경기도 과천시 과천대로8길 68 (갈현동,과천 그랑레브 데시앙)</t>
  </si>
  <si>
    <t>202409</t>
  </si>
  <si>
    <t>아산탕정(05,택)</t>
  </si>
  <si>
    <t>2-A6</t>
  </si>
  <si>
    <t>충청남도 아산시 배방읍 세교길 14 (별하신도시 하늘채)</t>
  </si>
  <si>
    <t>202312</t>
  </si>
  <si>
    <t>의왕초평(뉴스테이)</t>
  </si>
  <si>
    <t>A3</t>
  </si>
  <si>
    <t>경기도 의왕시 광진말1로 11 (초평동,엘리프 의왕역)</t>
  </si>
  <si>
    <t>202310</t>
  </si>
  <si>
    <t>수원당수</t>
  </si>
  <si>
    <t>경기도 수원시 권선구 당수동 수원당수 공공주택지구 A-3블록</t>
  </si>
  <si>
    <t>202305</t>
  </si>
  <si>
    <t>A4</t>
  </si>
  <si>
    <t>경기도 수원시 권선구 당수로129번길 10 (당수동,라 포리엘)</t>
  </si>
  <si>
    <t>창원명곡(공공주택)</t>
  </si>
  <si>
    <t>A-1</t>
  </si>
  <si>
    <t>경상남도</t>
  </si>
  <si>
    <t>경상남도 창원시 의창구 명곡동 A-1블록</t>
  </si>
  <si>
    <t>2021</t>
  </si>
  <si>
    <t>의왕고천</t>
  </si>
  <si>
    <t>A2</t>
  </si>
  <si>
    <t>경기도 의왕시 안골로 10 (고천동,e편한세상 고천 파크루체)</t>
  </si>
  <si>
    <t>20210514</t>
  </si>
  <si>
    <t>202308</t>
  </si>
  <si>
    <t>A18</t>
  </si>
  <si>
    <t>경기도 양주시 덕계로 111 (덕계동,회천 파밀리에 더 퍼스트)</t>
  </si>
  <si>
    <t>20210531</t>
  </si>
  <si>
    <t>A21</t>
  </si>
  <si>
    <t>경기도 양주시 회천중앙로 200 (덕계동,회천 베네스트 하우스)</t>
  </si>
  <si>
    <t>202311</t>
  </si>
  <si>
    <t>Aa-54</t>
  </si>
  <si>
    <t>경기도 평택시 고덕로 191 (고덕동)</t>
  </si>
  <si>
    <t>20210623</t>
  </si>
  <si>
    <t>안성아양</t>
  </si>
  <si>
    <t>경기도 안성시 아양4로 46 (석정동)</t>
  </si>
  <si>
    <t>20210702</t>
  </si>
  <si>
    <t>S-8</t>
  </si>
  <si>
    <t>경기도 과천시 갈현동 일원 과천지식정보타운 공공주택지구</t>
  </si>
  <si>
    <t>20210813</t>
  </si>
  <si>
    <t>202404</t>
  </si>
  <si>
    <t>파주운정3(07,택1)</t>
  </si>
  <si>
    <t>A-17(신규)</t>
  </si>
  <si>
    <t>경기도 파주시 다율동 일원</t>
  </si>
  <si>
    <t>20210831</t>
  </si>
  <si>
    <t>A-3</t>
  </si>
  <si>
    <t>경기도 시흥시 진말1로 30 (장곡동)</t>
  </si>
  <si>
    <t>서울 강서아파트</t>
  </si>
  <si>
    <t>서울특별시</t>
  </si>
  <si>
    <t>서울특별시 강서구 공항대로46길 105 (화곡동)</t>
  </si>
  <si>
    <t>20210915</t>
  </si>
  <si>
    <t>202412</t>
  </si>
  <si>
    <t>인천검단</t>
  </si>
  <si>
    <t>AA13-1</t>
  </si>
  <si>
    <t>인천광역시 서구 원당동</t>
  </si>
  <si>
    <t>20210916</t>
  </si>
  <si>
    <t>AA13-2</t>
  </si>
  <si>
    <t>B1</t>
  </si>
  <si>
    <t>경기도 고양시 덕양구 지축동 875</t>
  </si>
  <si>
    <t>20210929</t>
  </si>
  <si>
    <t>창원가포</t>
  </si>
  <si>
    <t>경상남도 창원시 마산합포구 가포동 788</t>
  </si>
  <si>
    <t>20210930</t>
  </si>
  <si>
    <t>인천영종</t>
  </si>
  <si>
    <t>A10</t>
  </si>
  <si>
    <t>인천광역시 중구 영종대로277번길 47-10 (운서동)</t>
  </si>
  <si>
    <t>20211022</t>
  </si>
  <si>
    <t>행정중심복합도시</t>
  </si>
  <si>
    <t>63M2</t>
  </si>
  <si>
    <t>세종특별자치시</t>
  </si>
  <si>
    <t>세종특별자치시 산울2로 40 (산울동,산울마을5단지)</t>
  </si>
  <si>
    <t>20211125</t>
  </si>
  <si>
    <t>부천괴안(공공주택)</t>
  </si>
  <si>
    <t>경기도 부천시 괴안동 부천괴안 공공주택지구 B-1블록 일원</t>
  </si>
  <si>
    <t>20211228</t>
  </si>
  <si>
    <t>202411</t>
  </si>
  <si>
    <t>2022</t>
  </si>
  <si>
    <t>A16</t>
  </si>
  <si>
    <t>경기도 파주시 목동동 파주운정3 A16BL</t>
  </si>
  <si>
    <t>20220128</t>
  </si>
  <si>
    <t>63M4</t>
  </si>
  <si>
    <t>세종특별자치시  산울동</t>
  </si>
  <si>
    <t>20220222</t>
  </si>
  <si>
    <t>202501</t>
  </si>
  <si>
    <t>Aa-57-2</t>
  </si>
  <si>
    <t>경기도 평택시 고덕국제5로 170 (고덕동,고덕국제신도시 양우내안애)</t>
  </si>
  <si>
    <t>20220225</t>
  </si>
  <si>
    <t>광주선운2</t>
  </si>
  <si>
    <t>A-1BL</t>
  </si>
  <si>
    <t>광주광역시</t>
  </si>
  <si>
    <t>광주광역시 광산구 선암1로 43 (운수동)</t>
  </si>
  <si>
    <t>20220228</t>
  </si>
  <si>
    <t>202504</t>
  </si>
  <si>
    <t>A-3BL</t>
  </si>
  <si>
    <t>광주광역시 광산구 선운중앙로 89 (선암동)</t>
  </si>
  <si>
    <t>양산사송GB(05,택)</t>
  </si>
  <si>
    <t>경상남도 양산시 동면 사송리 일원 양산사송 A-2블록 신혼희망타운</t>
  </si>
  <si>
    <t>20220414</t>
  </si>
  <si>
    <t>A24</t>
  </si>
  <si>
    <t>경기도 양주시 덕계동 일원 양주회천 택지개발지구 내 A24블록</t>
  </si>
  <si>
    <t>20220615</t>
  </si>
  <si>
    <t>202406</t>
  </si>
  <si>
    <t>익산평화(08,주환)</t>
  </si>
  <si>
    <t>전북특별자치도</t>
  </si>
  <si>
    <t>전북특별자치도 익산시 평화동 395</t>
  </si>
  <si>
    <t>20220623</t>
  </si>
  <si>
    <t>202503</t>
  </si>
  <si>
    <t>20220714</t>
  </si>
  <si>
    <t>A23</t>
  </si>
  <si>
    <t>경기도 파주시 동패동 파주운정3 택지개발지구 내 A23BL</t>
  </si>
  <si>
    <t>20220715</t>
  </si>
  <si>
    <t>202602</t>
  </si>
  <si>
    <t>양주옥정</t>
  </si>
  <si>
    <t>A4-1</t>
  </si>
  <si>
    <t>경기도 양주시 옥정동 945</t>
  </si>
  <si>
    <t>20220727</t>
  </si>
  <si>
    <t>A33</t>
  </si>
  <si>
    <t>인천광역시 중구 하늘중앙로 271 (중산동)</t>
  </si>
  <si>
    <t>20220804</t>
  </si>
  <si>
    <t>Aa-53</t>
  </si>
  <si>
    <t>경기도 평택시 고덕동 평택고덕 A-53BL</t>
  </si>
  <si>
    <t>20220812</t>
  </si>
  <si>
    <t>울산다운2(08,국민)</t>
  </si>
  <si>
    <t>울산광역시</t>
  </si>
  <si>
    <t>울산광역시 울주군 범서읍 서사리 울산다운2 공공주택지구 내 A-9블록</t>
  </si>
  <si>
    <t>20220826</t>
  </si>
  <si>
    <t>202506</t>
  </si>
  <si>
    <t>AA21</t>
  </si>
  <si>
    <t>인천광역시 서구 불로동 인천검단지구 내 AA21BL</t>
  </si>
  <si>
    <t>20220906</t>
  </si>
  <si>
    <t>화성비봉</t>
  </si>
  <si>
    <t>A03</t>
  </si>
  <si>
    <t>경기도 화성시 비봉면 삼화리 , 구포리 일원 화성비봉 공공주택지구 내 A-3블록</t>
  </si>
  <si>
    <t>20220923</t>
  </si>
  <si>
    <t>인천영종A37(07,기)</t>
  </si>
  <si>
    <t>A37</t>
  </si>
  <si>
    <t>인천광역시 중구 은하수로 350 (중산동)</t>
  </si>
  <si>
    <t>20220929</t>
  </si>
  <si>
    <t>A60</t>
  </si>
  <si>
    <t>인천광역시 중구 은하수로 183 (중산동,영종국제도시 화성파크드림 오션브릿지)</t>
  </si>
  <si>
    <t>20221013</t>
  </si>
  <si>
    <t>성남판교대장A-10BL</t>
  </si>
  <si>
    <t>A-10</t>
  </si>
  <si>
    <t>경기도 성남시 분당구 대장동 176번지 일원 성남판교대장지구 내 A-10블록</t>
  </si>
  <si>
    <t>20221027</t>
  </si>
  <si>
    <t>성남복정1</t>
  </si>
  <si>
    <t>경기도 성남시 수정구 복정동 ,창곡동 일원 성남복정1 공공주택지구 내 A1블록</t>
  </si>
  <si>
    <t>20221130</t>
  </si>
  <si>
    <t>202512</t>
  </si>
  <si>
    <t>경기도 성남시 수정구 복정동 , 창곡동 일원 성남복정1 공공주택지구 내 A2블록</t>
  </si>
  <si>
    <t>경기도 성남시 수정구 복정동 , 창곡동 일원 성남복정1 공공주택지구 내 A3블록</t>
  </si>
  <si>
    <t>부천원종(공공주택)</t>
  </si>
  <si>
    <t>B2</t>
  </si>
  <si>
    <t>경기도 부천시 원종동 부천원종지구 B2블록 일원</t>
  </si>
  <si>
    <t>20221228</t>
  </si>
  <si>
    <t>2023</t>
  </si>
  <si>
    <t>화성태안3(택)</t>
  </si>
  <si>
    <t>B-3</t>
  </si>
  <si>
    <t>경기도 화성시 송산동 화성태안3지구 B-3블록</t>
  </si>
  <si>
    <t>20230707</t>
  </si>
  <si>
    <t>서울대방(복합개발)</t>
  </si>
  <si>
    <t>서울특별시 영등포구 신길동 1280 일원(서울대방 신혼희망타운)</t>
  </si>
  <si>
    <t>20230830</t>
  </si>
  <si>
    <t>202706</t>
  </si>
  <si>
    <t>경기도 고양시 일산동구 장항동 일원 고양장항지구 내 A-2블록</t>
  </si>
  <si>
    <t>20230915</t>
  </si>
  <si>
    <t>202604</t>
  </si>
  <si>
    <t>A22</t>
  </si>
  <si>
    <t>경기도 파주시 동패동 파주운정3 택지개발지구 내 A22BL</t>
  </si>
  <si>
    <t>20231005</t>
  </si>
  <si>
    <t>202607</t>
  </si>
  <si>
    <t>위례A2-7BL</t>
  </si>
  <si>
    <t>경기도 성남시 수정구 창곡동 위례 택지개발사업지구 내 A2-7블록</t>
  </si>
  <si>
    <t>20231227</t>
  </si>
  <si>
    <t>202612</t>
  </si>
  <si>
    <t>서울공릉(복합개발)</t>
  </si>
  <si>
    <t>서울특별시 노원구 공릉동 240-1 일원 (서울공릉 신혼희망타운)</t>
  </si>
  <si>
    <t>20231229</t>
  </si>
  <si>
    <t>202710</t>
  </si>
  <si>
    <t>2024</t>
  </si>
  <si>
    <t>인천가정2</t>
  </si>
  <si>
    <t>인천광역시 서구 가정동 인천가정2지구 A-2블록 일원</t>
  </si>
  <si>
    <t>20240103</t>
  </si>
  <si>
    <t>202605</t>
  </si>
  <si>
    <t>성남신촌</t>
  </si>
  <si>
    <t>경기도 성남시 수정구 신촌동 179-5번지 일원(성남신촌 공공주택지구 내)</t>
  </si>
  <si>
    <t>20240329</t>
  </si>
  <si>
    <t>인천계양(공공주택)</t>
  </si>
  <si>
    <t>인천광역시 계양구 동양동 인천계양 테크노밸리 공공주택지구내 A3블록</t>
  </si>
  <si>
    <t>20240920</t>
  </si>
  <si>
    <t>인천광역시 계양구 동양동 413-2</t>
  </si>
  <si>
    <t>20240930</t>
  </si>
  <si>
    <t>수방사군부지</t>
  </si>
  <si>
    <t>서울특별시 동작구 노량진동 154-7번지 일원</t>
  </si>
  <si>
    <t>202812</t>
  </si>
  <si>
    <t>A20</t>
  </si>
  <si>
    <t>경기도 파주시 목동동 파주운정3 택지개발지구 내 A20블록</t>
  </si>
  <si>
    <t>20241004</t>
  </si>
  <si>
    <t>202708</t>
  </si>
  <si>
    <t>의왕월암</t>
  </si>
  <si>
    <t>경기도 의왕시 월암동 의왕월암지구 A-1블록</t>
  </si>
  <si>
    <t>20241108</t>
  </si>
  <si>
    <t>202711</t>
  </si>
  <si>
    <t>경기도 의왕시 월암동 의왕월암지구 A-3블록</t>
  </si>
  <si>
    <t>202804</t>
  </si>
  <si>
    <t>A5</t>
  </si>
  <si>
    <t>경기도 수원시 권선구 당수로 178 수원당수 A-5블록</t>
  </si>
  <si>
    <t>20241115</t>
  </si>
  <si>
    <t>의왕청계2</t>
  </si>
  <si>
    <t>경기도 의왕시 안양판교로 152 의왕청계2 A1BL</t>
  </si>
  <si>
    <t>20241230</t>
  </si>
  <si>
    <t>성남금토</t>
  </si>
  <si>
    <t>경기도 성남시 수정구 금토동 성남금토 A-4BL</t>
  </si>
  <si>
    <t>20241231</t>
  </si>
  <si>
    <t>2025</t>
  </si>
  <si>
    <t>고양창릉</t>
  </si>
  <si>
    <t>S-06</t>
  </si>
  <si>
    <t>경기도 고양시 덕양구 도내동 등 일원 고양창릉 공공주택지구 내 S-6블록</t>
  </si>
  <si>
    <t>20250131</t>
  </si>
  <si>
    <t>202712</t>
  </si>
  <si>
    <t>S-05</t>
  </si>
  <si>
    <t>경기도 고양시 덕양구 도내동 등 일원 고양창릉 공공주택지구 내 S-5블록</t>
  </si>
  <si>
    <t>202801</t>
  </si>
  <si>
    <t>A-04</t>
  </si>
  <si>
    <t>경기도 고양시 덕양구 도내동 등 일원 고양창릉 공공주택지구 내 A-4블록</t>
  </si>
  <si>
    <t>하남교산</t>
  </si>
  <si>
    <t>경기도 하남시 천현동 130</t>
  </si>
  <si>
    <t>20250331</t>
  </si>
  <si>
    <t>202906</t>
  </si>
  <si>
    <t>부천대장</t>
  </si>
  <si>
    <t>A7</t>
  </si>
  <si>
    <t>경기도 부천시 오정구 원종동 부천대장 A7블록 공공분양주택</t>
  </si>
  <si>
    <t>20250430</t>
  </si>
  <si>
    <t>A8</t>
  </si>
  <si>
    <t>경기도 부천시 오정구 원종동 부천대장 A8블록 공공분양주택</t>
  </si>
  <si>
    <t>경기도 부천시 오정구 오정동 e편한세상 대장 퍼스티움(부천대장 A-5BL)</t>
  </si>
  <si>
    <t>A6</t>
  </si>
  <si>
    <t>경기도 부천시 오정구 오정동 e편한세상 대장 퍼스티움(부천대장 A-6BL)</t>
  </si>
  <si>
    <t>S-1</t>
  </si>
  <si>
    <t>경기도 고양시 일산동구 장항동 등 일원 고양장항 공공주택지구 내 S-1블록</t>
  </si>
  <si>
    <t>20250630</t>
  </si>
  <si>
    <t>202803</t>
  </si>
  <si>
    <t>남양주왕숙</t>
  </si>
  <si>
    <t>A-01</t>
  </si>
  <si>
    <t>경기도 남양주시 진접읍 남가로 72-100 남양주왕숙 A-1블록 공공분양주택</t>
  </si>
  <si>
    <t>20250724</t>
  </si>
  <si>
    <t>202808</t>
  </si>
  <si>
    <t>A-02</t>
  </si>
  <si>
    <t>경기도 남양주시 진접읍 경복대로17번안길 53 연평리 등 일원 남양주왕숙 공공주택지구 A-2블록</t>
  </si>
  <si>
    <t>구리갈매역세권</t>
  </si>
  <si>
    <t>경기도 구리시 갈매동 구리갈매역세권 공공주택지구 내 A-1블록</t>
  </si>
  <si>
    <t>20250729</t>
  </si>
  <si>
    <t>202809</t>
  </si>
  <si>
    <t>B-01</t>
  </si>
  <si>
    <t>경기도 남양주시 진접읍 연평리 남양주왕숙지구 내 B-1블록(1단지)</t>
  </si>
  <si>
    <t>202805</t>
  </si>
  <si>
    <t>B-02</t>
  </si>
  <si>
    <t>경기도 남양주시 진접읍 연평리 남양주왕숙지구 내 B-2블록(2단지)</t>
  </si>
  <si>
    <t>202806</t>
  </si>
  <si>
    <t>남양주진접2</t>
  </si>
  <si>
    <t>경기도 남양주시 진접읍 내각리 ,연평리 등 일원 남양주진접2 공공주택지구 내 A-1블록</t>
  </si>
  <si>
    <t>20250730</t>
  </si>
  <si>
    <t>202807</t>
  </si>
  <si>
    <t>경기도 남양주시 진접읍 내각리 ,연평리 등 일원 남양주진접2 공공주택지구 내 A-4블록</t>
  </si>
  <si>
    <t>과천주암(뉴스테이)</t>
  </si>
  <si>
    <t>C2</t>
  </si>
  <si>
    <t>경기도 과천시 주암동 과천주암 C2BL</t>
  </si>
  <si>
    <t>20250808</t>
  </si>
  <si>
    <t>의정부우정</t>
  </si>
  <si>
    <t>경기도 의정부시 녹양동 의정부우정 A-1블록 공공분양주택</t>
  </si>
  <si>
    <t>20250828</t>
  </si>
  <si>
    <t>대전대동2(06,주환2)</t>
  </si>
  <si>
    <t>대전광역시</t>
  </si>
  <si>
    <t>대전광역시 동구 대동 33번지 일원(대전대동2 주거환경개선사업지구 1블록 공공분양)</t>
  </si>
  <si>
    <t>20250905</t>
  </si>
  <si>
    <t>202902</t>
  </si>
  <si>
    <t>시흥하중</t>
  </si>
  <si>
    <t>경기도 시흥시 하중동 시흥하중 A-4BL</t>
  </si>
  <si>
    <t>20250919</t>
  </si>
  <si>
    <t>A-7(공분)</t>
  </si>
  <si>
    <t>경기도 남양주시 진접읍 금강로1190번길 53-84 남양주진접 A-7블록 공공분양주택</t>
  </si>
  <si>
    <t>20250926</t>
  </si>
  <si>
    <t>울산태화강변</t>
  </si>
  <si>
    <t>A2(공분)</t>
  </si>
  <si>
    <t>울산광역시 울주군 범서읍 굴화리 공공주택지구 내 A-2블록</t>
  </si>
  <si>
    <t>원주무실</t>
  </si>
  <si>
    <t>강원특별자치도</t>
  </si>
  <si>
    <t>강원특별자치도 원주시 마장1길 70-1 (무실동)</t>
  </si>
  <si>
    <t>20250930</t>
  </si>
  <si>
    <t>20251017</t>
  </si>
  <si>
    <t>김해진례</t>
  </si>
  <si>
    <t>C1(공분)</t>
  </si>
  <si>
    <t>경상남도 김해시 진례면 송정리 김해진례 공공지원 민간임대주택 공급촉진지구 내  C-1블록</t>
  </si>
  <si>
    <t>20251023</t>
  </si>
  <si>
    <t>공급유형</t>
    <phoneticPr fontId="3" type="noConversion"/>
  </si>
  <si>
    <t>미정</t>
    <phoneticPr fontId="3" type="noConversion"/>
  </si>
  <si>
    <t>기준일: 25.11.13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</si>
</sst>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Dialog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2" fillId="2" borderId="1" xfId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vertical="center"/>
    </xf>
    <xf numFmtId="41" fontId="2" fillId="2" borderId="1" xfId="1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right"/>
    </xf>
    <xf numFmtId="176" fontId="2" fillId="2" borderId="1" xfId="0" applyNumberFormat="1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"/>
  <sheetViews>
    <sheetView tabSelected="1" topLeftCell="F1" workbookViewId="0">
      <selection activeCell="K14" sqref="K14"/>
    </sheetView>
  </sheetViews>
  <sheetFormatPr defaultRowHeight="16.5"/>
  <cols>
    <col min="2" max="2" width="19.75" bestFit="1" customWidth="1"/>
    <col min="3" max="3" width="10.5" bestFit="1" customWidth="1"/>
    <col min="4" max="4" width="15.125" bestFit="1" customWidth="1"/>
    <col min="5" max="5" width="77.625" customWidth="1"/>
    <col min="6" max="6" width="21.5" customWidth="1"/>
    <col min="7" max="7" width="7.625" bestFit="1" customWidth="1"/>
    <col min="8" max="8" width="9.625" bestFit="1" customWidth="1"/>
    <col min="9" max="9" width="11.375" bestFit="1" customWidth="1"/>
    <col min="19" max="19" width="12.125" customWidth="1"/>
    <col min="20" max="20" width="15.625" customWidth="1"/>
    <col min="23" max="23" width="14.625" customWidth="1"/>
  </cols>
  <sheetData>
    <row r="1" spans="1:23">
      <c r="W1" t="s">
        <v>414</v>
      </c>
    </row>
    <row r="2" spans="1:23">
      <c r="A2" s="7" t="s">
        <v>0</v>
      </c>
      <c r="B2" s="7" t="s">
        <v>22</v>
      </c>
      <c r="C2" s="7" t="s">
        <v>23</v>
      </c>
      <c r="D2" s="7" t="s">
        <v>20</v>
      </c>
      <c r="E2" s="7" t="s">
        <v>19</v>
      </c>
      <c r="F2" s="11" t="s">
        <v>412</v>
      </c>
      <c r="G2" s="10" t="s">
        <v>1</v>
      </c>
      <c r="H2" s="7" t="s">
        <v>2</v>
      </c>
      <c r="I2" s="7" t="s">
        <v>21</v>
      </c>
      <c r="J2" s="8" t="s">
        <v>18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7"/>
      <c r="B3" s="7"/>
      <c r="C3" s="7"/>
      <c r="D3" s="7"/>
      <c r="E3" s="7"/>
      <c r="F3" s="11"/>
      <c r="G3" s="10"/>
      <c r="H3" s="7"/>
      <c r="I3" s="7"/>
      <c r="J3" s="9" t="s">
        <v>3</v>
      </c>
      <c r="K3" s="9" t="s">
        <v>4</v>
      </c>
      <c r="L3" s="1"/>
      <c r="M3" s="10" t="s">
        <v>5</v>
      </c>
      <c r="N3" s="10"/>
      <c r="O3" s="10"/>
      <c r="P3" s="10"/>
      <c r="Q3" s="10"/>
      <c r="R3" s="10"/>
      <c r="S3" s="10"/>
      <c r="T3" s="10"/>
      <c r="U3" s="2"/>
      <c r="V3" s="2"/>
      <c r="W3" s="10" t="s">
        <v>6</v>
      </c>
    </row>
    <row r="4" spans="1:23" ht="40.5">
      <c r="A4" s="7"/>
      <c r="B4" s="7"/>
      <c r="C4" s="7"/>
      <c r="D4" s="7"/>
      <c r="E4" s="7"/>
      <c r="F4" s="11"/>
      <c r="G4" s="10"/>
      <c r="H4" s="7"/>
      <c r="I4" s="7"/>
      <c r="J4" s="9"/>
      <c r="K4" s="9"/>
      <c r="L4" s="1" t="s">
        <v>7</v>
      </c>
      <c r="M4" s="3" t="s">
        <v>8</v>
      </c>
      <c r="N4" s="3" t="s">
        <v>9</v>
      </c>
      <c r="O4" s="3" t="s">
        <v>10</v>
      </c>
      <c r="P4" s="3" t="s">
        <v>11</v>
      </c>
      <c r="Q4" s="3" t="s">
        <v>12</v>
      </c>
      <c r="R4" s="3" t="s">
        <v>13</v>
      </c>
      <c r="S4" s="3" t="s">
        <v>14</v>
      </c>
      <c r="T4" s="3" t="s">
        <v>15</v>
      </c>
      <c r="U4" s="4" t="s">
        <v>16</v>
      </c>
      <c r="V4" s="4" t="s">
        <v>17</v>
      </c>
      <c r="W4" s="10"/>
    </row>
    <row r="5" spans="1:23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6">
        <v>920</v>
      </c>
      <c r="H5" s="5" t="s">
        <v>30</v>
      </c>
      <c r="I5" s="5" t="s">
        <v>31</v>
      </c>
      <c r="J5" s="6">
        <v>658</v>
      </c>
      <c r="K5" s="6">
        <v>0</v>
      </c>
      <c r="L5" s="5" t="s">
        <v>32</v>
      </c>
      <c r="M5" s="5">
        <f>SUM(N5:S5)+SUM(U5:V5)</f>
        <v>527</v>
      </c>
      <c r="N5" s="6">
        <v>66</v>
      </c>
      <c r="O5" s="6">
        <v>197</v>
      </c>
      <c r="P5" s="6">
        <v>132</v>
      </c>
      <c r="Q5" s="6">
        <v>33</v>
      </c>
      <c r="R5" s="5" t="s">
        <v>32</v>
      </c>
      <c r="S5" s="5" t="s">
        <v>32</v>
      </c>
      <c r="T5" s="5">
        <f>SUM(U5:V5)</f>
        <v>99</v>
      </c>
      <c r="U5" s="6">
        <v>33</v>
      </c>
      <c r="V5" s="6">
        <v>66</v>
      </c>
      <c r="W5" s="6">
        <v>131</v>
      </c>
    </row>
    <row r="6" spans="1:23">
      <c r="A6" s="5" t="s">
        <v>24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29</v>
      </c>
      <c r="G6" s="6">
        <v>160</v>
      </c>
      <c r="H6" s="5" t="s">
        <v>37</v>
      </c>
      <c r="I6" s="5" t="s">
        <v>38</v>
      </c>
      <c r="J6" s="6">
        <v>160</v>
      </c>
      <c r="K6" s="6">
        <v>0</v>
      </c>
      <c r="L6" s="5" t="s">
        <v>32</v>
      </c>
      <c r="M6" s="5">
        <f t="shared" ref="M6:M69" si="0">SUM(N6:S6)+SUM(U6:V6)</f>
        <v>128</v>
      </c>
      <c r="N6" s="6">
        <v>16</v>
      </c>
      <c r="O6" s="6">
        <v>48</v>
      </c>
      <c r="P6" s="6">
        <v>32</v>
      </c>
      <c r="Q6" s="6">
        <v>8</v>
      </c>
      <c r="R6" s="5" t="s">
        <v>32</v>
      </c>
      <c r="S6" s="5" t="s">
        <v>32</v>
      </c>
      <c r="T6" s="5">
        <f t="shared" ref="T6:T69" si="1">SUM(U6:V6)</f>
        <v>24</v>
      </c>
      <c r="U6" s="6">
        <v>8</v>
      </c>
      <c r="V6" s="6">
        <v>16</v>
      </c>
      <c r="W6" s="6">
        <v>32</v>
      </c>
    </row>
    <row r="7" spans="1:23">
      <c r="A7" s="5" t="s">
        <v>24</v>
      </c>
      <c r="B7" s="5" t="s">
        <v>39</v>
      </c>
      <c r="C7" s="5" t="s">
        <v>40</v>
      </c>
      <c r="D7" s="5" t="s">
        <v>35</v>
      </c>
      <c r="E7" s="5" t="s">
        <v>41</v>
      </c>
      <c r="F7" s="5" t="s">
        <v>29</v>
      </c>
      <c r="G7" s="6">
        <v>811</v>
      </c>
      <c r="H7" s="5" t="s">
        <v>42</v>
      </c>
      <c r="I7" s="5" t="s">
        <v>43</v>
      </c>
      <c r="J7" s="6">
        <v>811</v>
      </c>
      <c r="K7" s="6">
        <v>0</v>
      </c>
      <c r="L7" s="5" t="s">
        <v>32</v>
      </c>
      <c r="M7" s="5">
        <f t="shared" si="0"/>
        <v>649</v>
      </c>
      <c r="N7" s="6">
        <v>40</v>
      </c>
      <c r="O7" s="6">
        <v>243</v>
      </c>
      <c r="P7" s="6">
        <v>202</v>
      </c>
      <c r="Q7" s="6">
        <v>41</v>
      </c>
      <c r="R7" s="5" t="s">
        <v>32</v>
      </c>
      <c r="S7" s="5" t="s">
        <v>32</v>
      </c>
      <c r="T7" s="5">
        <f t="shared" si="1"/>
        <v>123</v>
      </c>
      <c r="U7" s="6">
        <v>41</v>
      </c>
      <c r="V7" s="6">
        <v>82</v>
      </c>
      <c r="W7" s="6">
        <v>159</v>
      </c>
    </row>
    <row r="8" spans="1:23">
      <c r="A8" s="5" t="s">
        <v>24</v>
      </c>
      <c r="B8" s="5" t="s">
        <v>44</v>
      </c>
      <c r="C8" s="5" t="s">
        <v>45</v>
      </c>
      <c r="D8" s="5" t="s">
        <v>35</v>
      </c>
      <c r="E8" s="5" t="s">
        <v>46</v>
      </c>
      <c r="F8" s="5" t="s">
        <v>29</v>
      </c>
      <c r="G8" s="6">
        <v>210</v>
      </c>
      <c r="H8" s="5" t="s">
        <v>47</v>
      </c>
      <c r="I8" s="5" t="s">
        <v>48</v>
      </c>
      <c r="J8" s="6">
        <v>210</v>
      </c>
      <c r="K8" s="6">
        <v>0</v>
      </c>
      <c r="L8" s="5" t="s">
        <v>32</v>
      </c>
      <c r="M8" s="5">
        <f t="shared" si="0"/>
        <v>168</v>
      </c>
      <c r="N8" s="6">
        <v>22</v>
      </c>
      <c r="O8" s="6">
        <v>63</v>
      </c>
      <c r="P8" s="6">
        <v>42</v>
      </c>
      <c r="Q8" s="6">
        <v>10</v>
      </c>
      <c r="R8" s="5" t="s">
        <v>32</v>
      </c>
      <c r="S8" s="5" t="s">
        <v>32</v>
      </c>
      <c r="T8" s="5">
        <f t="shared" si="1"/>
        <v>31</v>
      </c>
      <c r="U8" s="6">
        <v>10</v>
      </c>
      <c r="V8" s="6">
        <v>21</v>
      </c>
      <c r="W8" s="6">
        <v>42</v>
      </c>
    </row>
    <row r="9" spans="1:23">
      <c r="A9" s="5" t="s">
        <v>24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29</v>
      </c>
      <c r="G9" s="6">
        <v>639</v>
      </c>
      <c r="H9" s="5" t="s">
        <v>53</v>
      </c>
      <c r="I9" s="5" t="s">
        <v>38</v>
      </c>
      <c r="J9" s="6">
        <v>637</v>
      </c>
      <c r="K9" s="6">
        <v>0</v>
      </c>
      <c r="L9" s="5" t="s">
        <v>32</v>
      </c>
      <c r="M9" s="5">
        <f t="shared" si="0"/>
        <v>510</v>
      </c>
      <c r="N9" s="6">
        <v>64</v>
      </c>
      <c r="O9" s="6">
        <v>192</v>
      </c>
      <c r="P9" s="6">
        <v>128</v>
      </c>
      <c r="Q9" s="6">
        <v>31</v>
      </c>
      <c r="R9" s="5" t="s">
        <v>32</v>
      </c>
      <c r="S9" s="5" t="s">
        <v>32</v>
      </c>
      <c r="T9" s="5">
        <f t="shared" si="1"/>
        <v>95</v>
      </c>
      <c r="U9" s="6">
        <v>31</v>
      </c>
      <c r="V9" s="6">
        <v>64</v>
      </c>
      <c r="W9" s="6">
        <v>127</v>
      </c>
    </row>
    <row r="10" spans="1:23">
      <c r="A10" s="5" t="s">
        <v>24</v>
      </c>
      <c r="B10" s="5" t="s">
        <v>54</v>
      </c>
      <c r="C10" s="5" t="s">
        <v>55</v>
      </c>
      <c r="D10" s="5" t="s">
        <v>35</v>
      </c>
      <c r="E10" s="5" t="s">
        <v>56</v>
      </c>
      <c r="F10" s="5" t="s">
        <v>57</v>
      </c>
      <c r="G10" s="6">
        <v>304</v>
      </c>
      <c r="H10" s="5" t="s">
        <v>58</v>
      </c>
      <c r="I10" s="5" t="s">
        <v>59</v>
      </c>
      <c r="J10" s="6">
        <v>304</v>
      </c>
      <c r="K10" s="6">
        <v>0</v>
      </c>
      <c r="L10" s="5" t="s">
        <v>32</v>
      </c>
      <c r="M10" s="5">
        <f t="shared" si="0"/>
        <v>304</v>
      </c>
      <c r="N10" s="6">
        <v>0</v>
      </c>
      <c r="O10" s="6">
        <v>304</v>
      </c>
      <c r="P10" s="6">
        <v>0</v>
      </c>
      <c r="Q10" s="6">
        <v>0</v>
      </c>
      <c r="R10" s="5" t="s">
        <v>32</v>
      </c>
      <c r="S10" s="5" t="s">
        <v>32</v>
      </c>
      <c r="T10" s="5">
        <f t="shared" si="1"/>
        <v>0</v>
      </c>
      <c r="U10" s="6">
        <v>0</v>
      </c>
      <c r="V10" s="6">
        <v>0</v>
      </c>
      <c r="W10" s="6">
        <v>0</v>
      </c>
    </row>
    <row r="11" spans="1:23">
      <c r="A11" s="5" t="s">
        <v>24</v>
      </c>
      <c r="B11" s="5" t="s">
        <v>60</v>
      </c>
      <c r="C11" s="5" t="s">
        <v>45</v>
      </c>
      <c r="D11" s="5" t="s">
        <v>35</v>
      </c>
      <c r="E11" s="5" t="s">
        <v>61</v>
      </c>
      <c r="F11" s="5" t="s">
        <v>57</v>
      </c>
      <c r="G11" s="6">
        <v>298</v>
      </c>
      <c r="H11" s="5" t="s">
        <v>62</v>
      </c>
      <c r="I11" s="5" t="s">
        <v>63</v>
      </c>
      <c r="J11" s="6">
        <v>298</v>
      </c>
      <c r="K11" s="6">
        <v>0</v>
      </c>
      <c r="L11" s="5" t="s">
        <v>32</v>
      </c>
      <c r="M11" s="5">
        <f t="shared" si="0"/>
        <v>298</v>
      </c>
      <c r="N11" s="6">
        <v>0</v>
      </c>
      <c r="O11" s="6">
        <v>298</v>
      </c>
      <c r="P11" s="6">
        <v>0</v>
      </c>
      <c r="Q11" s="6">
        <v>0</v>
      </c>
      <c r="R11" s="5" t="s">
        <v>32</v>
      </c>
      <c r="S11" s="5" t="s">
        <v>32</v>
      </c>
      <c r="T11" s="5">
        <f t="shared" si="1"/>
        <v>0</v>
      </c>
      <c r="U11" s="6">
        <v>0</v>
      </c>
      <c r="V11" s="6">
        <v>0</v>
      </c>
      <c r="W11" s="6">
        <v>0</v>
      </c>
    </row>
    <row r="12" spans="1:23">
      <c r="A12" s="5" t="s">
        <v>24</v>
      </c>
      <c r="B12" s="5" t="s">
        <v>64</v>
      </c>
      <c r="C12" s="5" t="s">
        <v>65</v>
      </c>
      <c r="D12" s="5" t="s">
        <v>35</v>
      </c>
      <c r="E12" s="5" t="s">
        <v>66</v>
      </c>
      <c r="F12" s="5" t="s">
        <v>29</v>
      </c>
      <c r="G12" s="6">
        <v>336</v>
      </c>
      <c r="H12" s="5" t="s">
        <v>67</v>
      </c>
      <c r="I12" s="5" t="s">
        <v>68</v>
      </c>
      <c r="J12" s="6">
        <v>336</v>
      </c>
      <c r="K12" s="6">
        <v>0</v>
      </c>
      <c r="L12" s="5" t="s">
        <v>32</v>
      </c>
      <c r="M12" s="5">
        <f t="shared" si="0"/>
        <v>263</v>
      </c>
      <c r="N12" s="6">
        <v>33</v>
      </c>
      <c r="O12" s="6">
        <v>99</v>
      </c>
      <c r="P12" s="6">
        <v>66</v>
      </c>
      <c r="Q12" s="6">
        <v>16</v>
      </c>
      <c r="R12" s="5" t="s">
        <v>32</v>
      </c>
      <c r="S12" s="5" t="s">
        <v>32</v>
      </c>
      <c r="T12" s="5">
        <f t="shared" si="1"/>
        <v>49</v>
      </c>
      <c r="U12" s="6">
        <v>16</v>
      </c>
      <c r="V12" s="6">
        <v>33</v>
      </c>
      <c r="W12" s="6">
        <v>73</v>
      </c>
    </row>
    <row r="13" spans="1:23">
      <c r="A13" s="5" t="s">
        <v>24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6">
        <v>394</v>
      </c>
      <c r="H13" s="5" t="s">
        <v>74</v>
      </c>
      <c r="I13" s="5" t="s">
        <v>75</v>
      </c>
      <c r="J13" s="6">
        <v>394</v>
      </c>
      <c r="K13" s="5" t="s">
        <v>32</v>
      </c>
      <c r="L13" s="6">
        <v>394</v>
      </c>
      <c r="M13" s="5"/>
      <c r="N13" s="5"/>
      <c r="O13" s="5"/>
      <c r="P13" s="5"/>
      <c r="Q13" s="5"/>
      <c r="R13" s="5"/>
      <c r="S13" s="5"/>
      <c r="T13" s="5"/>
      <c r="U13" s="5"/>
      <c r="V13" s="5" t="s">
        <v>32</v>
      </c>
      <c r="W13" s="5" t="s">
        <v>32</v>
      </c>
    </row>
    <row r="14" spans="1:23">
      <c r="A14" s="5" t="s">
        <v>24</v>
      </c>
      <c r="B14" s="5" t="s">
        <v>76</v>
      </c>
      <c r="C14" s="5" t="s">
        <v>77</v>
      </c>
      <c r="D14" s="5" t="s">
        <v>35</v>
      </c>
      <c r="E14" s="5" t="s">
        <v>78</v>
      </c>
      <c r="F14" s="5" t="s">
        <v>57</v>
      </c>
      <c r="G14" s="6">
        <v>822</v>
      </c>
      <c r="H14" s="5" t="s">
        <v>79</v>
      </c>
      <c r="I14" s="5" t="s">
        <v>80</v>
      </c>
      <c r="J14" s="6">
        <v>822</v>
      </c>
      <c r="K14" s="6">
        <v>0</v>
      </c>
      <c r="L14" s="5" t="s">
        <v>32</v>
      </c>
      <c r="M14" s="5">
        <f t="shared" si="0"/>
        <v>822</v>
      </c>
      <c r="N14" s="6">
        <v>0</v>
      </c>
      <c r="O14" s="6">
        <v>822</v>
      </c>
      <c r="P14" s="6">
        <v>0</v>
      </c>
      <c r="Q14" s="6">
        <v>0</v>
      </c>
      <c r="R14" s="5" t="s">
        <v>32</v>
      </c>
      <c r="S14" s="5" t="s">
        <v>32</v>
      </c>
      <c r="T14" s="5">
        <f t="shared" si="1"/>
        <v>0</v>
      </c>
      <c r="U14" s="6">
        <v>0</v>
      </c>
      <c r="V14" s="6">
        <v>0</v>
      </c>
      <c r="W14" s="6">
        <v>0</v>
      </c>
    </row>
    <row r="15" spans="1:23">
      <c r="A15" s="5" t="s">
        <v>24</v>
      </c>
      <c r="B15" s="5" t="s">
        <v>81</v>
      </c>
      <c r="C15" s="5" t="s">
        <v>82</v>
      </c>
      <c r="D15" s="5" t="s">
        <v>83</v>
      </c>
      <c r="E15" s="5" t="s">
        <v>84</v>
      </c>
      <c r="F15" s="5" t="s">
        <v>29</v>
      </c>
      <c r="G15" s="6">
        <v>600</v>
      </c>
      <c r="H15" s="5" t="s">
        <v>85</v>
      </c>
      <c r="I15" s="5" t="s">
        <v>86</v>
      </c>
      <c r="J15" s="6">
        <v>600</v>
      </c>
      <c r="K15" s="6">
        <v>0</v>
      </c>
      <c r="L15" s="5" t="s">
        <v>32</v>
      </c>
      <c r="M15" s="5">
        <f t="shared" si="0"/>
        <v>498</v>
      </c>
      <c r="N15" s="6">
        <v>59</v>
      </c>
      <c r="O15" s="6">
        <v>178</v>
      </c>
      <c r="P15" s="6">
        <v>149</v>
      </c>
      <c r="Q15" s="6">
        <v>28</v>
      </c>
      <c r="R15" s="5" t="s">
        <v>32</v>
      </c>
      <c r="S15" s="5" t="s">
        <v>32</v>
      </c>
      <c r="T15" s="5">
        <f t="shared" si="1"/>
        <v>84</v>
      </c>
      <c r="U15" s="6">
        <v>28</v>
      </c>
      <c r="V15" s="6">
        <v>56</v>
      </c>
      <c r="W15" s="6">
        <v>102</v>
      </c>
    </row>
    <row r="16" spans="1:23">
      <c r="A16" s="5" t="s">
        <v>24</v>
      </c>
      <c r="B16" s="5" t="s">
        <v>87</v>
      </c>
      <c r="C16" s="5" t="s">
        <v>88</v>
      </c>
      <c r="D16" s="5" t="s">
        <v>35</v>
      </c>
      <c r="E16" s="5" t="s">
        <v>89</v>
      </c>
      <c r="F16" s="5" t="s">
        <v>57</v>
      </c>
      <c r="G16" s="6">
        <v>506</v>
      </c>
      <c r="H16" s="5" t="s">
        <v>90</v>
      </c>
      <c r="I16" s="5" t="s">
        <v>91</v>
      </c>
      <c r="J16" s="6">
        <v>506</v>
      </c>
      <c r="K16" s="6">
        <v>0</v>
      </c>
      <c r="L16" s="5" t="s">
        <v>32</v>
      </c>
      <c r="M16" s="5">
        <f t="shared" si="0"/>
        <v>506</v>
      </c>
      <c r="N16" s="6">
        <v>0</v>
      </c>
      <c r="O16" s="6">
        <v>506</v>
      </c>
      <c r="P16" s="6">
        <v>0</v>
      </c>
      <c r="Q16" s="6">
        <v>0</v>
      </c>
      <c r="R16" s="5" t="s">
        <v>32</v>
      </c>
      <c r="S16" s="5" t="s">
        <v>32</v>
      </c>
      <c r="T16" s="5">
        <f t="shared" si="1"/>
        <v>0</v>
      </c>
      <c r="U16" s="6">
        <v>0</v>
      </c>
      <c r="V16" s="6">
        <v>0</v>
      </c>
      <c r="W16" s="6">
        <v>0</v>
      </c>
    </row>
    <row r="17" spans="1:23">
      <c r="A17" s="5" t="s">
        <v>24</v>
      </c>
      <c r="B17" s="5" t="s">
        <v>39</v>
      </c>
      <c r="C17" s="5" t="s">
        <v>92</v>
      </c>
      <c r="D17" s="5" t="s">
        <v>35</v>
      </c>
      <c r="E17" s="5" t="s">
        <v>93</v>
      </c>
      <c r="F17" s="5" t="s">
        <v>57</v>
      </c>
      <c r="G17" s="6">
        <v>330</v>
      </c>
      <c r="H17" s="5" t="s">
        <v>94</v>
      </c>
      <c r="I17" s="5" t="s">
        <v>80</v>
      </c>
      <c r="J17" s="6">
        <v>330</v>
      </c>
      <c r="K17" s="6">
        <v>0</v>
      </c>
      <c r="L17" s="5" t="s">
        <v>32</v>
      </c>
      <c r="M17" s="5">
        <f t="shared" si="0"/>
        <v>330</v>
      </c>
      <c r="N17" s="6">
        <v>0</v>
      </c>
      <c r="O17" s="6">
        <v>330</v>
      </c>
      <c r="P17" s="6">
        <v>0</v>
      </c>
      <c r="Q17" s="6">
        <v>0</v>
      </c>
      <c r="R17" s="5" t="s">
        <v>32</v>
      </c>
      <c r="S17" s="5" t="s">
        <v>32</v>
      </c>
      <c r="T17" s="5">
        <f t="shared" si="1"/>
        <v>0</v>
      </c>
      <c r="U17" s="6">
        <v>0</v>
      </c>
      <c r="V17" s="6">
        <v>0</v>
      </c>
      <c r="W17" s="6">
        <v>0</v>
      </c>
    </row>
    <row r="18" spans="1:23">
      <c r="A18" s="5" t="s">
        <v>24</v>
      </c>
      <c r="B18" s="5" t="s">
        <v>95</v>
      </c>
      <c r="C18" s="5" t="s">
        <v>55</v>
      </c>
      <c r="D18" s="5" t="s">
        <v>35</v>
      </c>
      <c r="E18" s="5" t="s">
        <v>96</v>
      </c>
      <c r="F18" s="5" t="s">
        <v>57</v>
      </c>
      <c r="G18" s="6">
        <v>389</v>
      </c>
      <c r="H18" s="5" t="s">
        <v>94</v>
      </c>
      <c r="I18" s="5" t="s">
        <v>97</v>
      </c>
      <c r="J18" s="6">
        <v>389</v>
      </c>
      <c r="K18" s="6">
        <v>0</v>
      </c>
      <c r="L18" s="5" t="s">
        <v>32</v>
      </c>
      <c r="M18" s="5">
        <f t="shared" si="0"/>
        <v>389</v>
      </c>
      <c r="N18" s="6">
        <v>0</v>
      </c>
      <c r="O18" s="6">
        <v>389</v>
      </c>
      <c r="P18" s="6">
        <v>0</v>
      </c>
      <c r="Q18" s="6">
        <v>0</v>
      </c>
      <c r="R18" s="5" t="s">
        <v>32</v>
      </c>
      <c r="S18" s="5" t="s">
        <v>32</v>
      </c>
      <c r="T18" s="5">
        <f t="shared" si="1"/>
        <v>0</v>
      </c>
      <c r="U18" s="6">
        <v>0</v>
      </c>
      <c r="V18" s="6">
        <v>0</v>
      </c>
      <c r="W18" s="6">
        <v>0</v>
      </c>
    </row>
    <row r="19" spans="1:23">
      <c r="A19" s="5" t="s">
        <v>24</v>
      </c>
      <c r="B19" s="5" t="s">
        <v>98</v>
      </c>
      <c r="C19" s="5" t="s">
        <v>99</v>
      </c>
      <c r="D19" s="5" t="s">
        <v>35</v>
      </c>
      <c r="E19" s="5" t="s">
        <v>100</v>
      </c>
      <c r="F19" s="5" t="s">
        <v>57</v>
      </c>
      <c r="G19" s="6">
        <v>994</v>
      </c>
      <c r="H19" s="5" t="s">
        <v>94</v>
      </c>
      <c r="I19" s="5" t="s">
        <v>101</v>
      </c>
      <c r="J19" s="6">
        <v>994</v>
      </c>
      <c r="K19" s="6">
        <v>0</v>
      </c>
      <c r="L19" s="5" t="s">
        <v>32</v>
      </c>
      <c r="M19" s="5">
        <f t="shared" si="0"/>
        <v>994</v>
      </c>
      <c r="N19" s="6">
        <v>0</v>
      </c>
      <c r="O19" s="6">
        <v>994</v>
      </c>
      <c r="P19" s="6">
        <v>0</v>
      </c>
      <c r="Q19" s="6">
        <v>0</v>
      </c>
      <c r="R19" s="5" t="s">
        <v>32</v>
      </c>
      <c r="S19" s="5" t="s">
        <v>32</v>
      </c>
      <c r="T19" s="5">
        <f t="shared" si="1"/>
        <v>0</v>
      </c>
      <c r="U19" s="6">
        <v>0</v>
      </c>
      <c r="V19" s="6">
        <v>0</v>
      </c>
      <c r="W19" s="6">
        <v>0</v>
      </c>
    </row>
    <row r="20" spans="1:23">
      <c r="A20" s="5" t="s">
        <v>24</v>
      </c>
      <c r="B20" s="5" t="s">
        <v>98</v>
      </c>
      <c r="C20" s="5" t="s">
        <v>102</v>
      </c>
      <c r="D20" s="5" t="s">
        <v>35</v>
      </c>
      <c r="E20" s="5" t="s">
        <v>103</v>
      </c>
      <c r="F20" s="5" t="s">
        <v>57</v>
      </c>
      <c r="G20" s="6">
        <v>444</v>
      </c>
      <c r="H20" s="5" t="s">
        <v>94</v>
      </c>
      <c r="I20" s="5" t="s">
        <v>101</v>
      </c>
      <c r="J20" s="6">
        <v>444</v>
      </c>
      <c r="K20" s="6">
        <v>0</v>
      </c>
      <c r="L20" s="5" t="s">
        <v>32</v>
      </c>
      <c r="M20" s="5">
        <f t="shared" si="0"/>
        <v>444</v>
      </c>
      <c r="N20" s="6">
        <v>0</v>
      </c>
      <c r="O20" s="6">
        <v>444</v>
      </c>
      <c r="P20" s="6">
        <v>0</v>
      </c>
      <c r="Q20" s="6">
        <v>0</v>
      </c>
      <c r="R20" s="5" t="s">
        <v>32</v>
      </c>
      <c r="S20" s="5" t="s">
        <v>32</v>
      </c>
      <c r="T20" s="5">
        <f t="shared" si="1"/>
        <v>0</v>
      </c>
      <c r="U20" s="6">
        <v>0</v>
      </c>
      <c r="V20" s="6">
        <v>0</v>
      </c>
      <c r="W20" s="6">
        <v>0</v>
      </c>
    </row>
    <row r="21" spans="1:23">
      <c r="A21" s="5" t="s">
        <v>24</v>
      </c>
      <c r="B21" s="5" t="s">
        <v>104</v>
      </c>
      <c r="C21" s="5" t="s">
        <v>105</v>
      </c>
      <c r="D21" s="5" t="s">
        <v>35</v>
      </c>
      <c r="E21" s="5" t="s">
        <v>106</v>
      </c>
      <c r="F21" s="5" t="s">
        <v>57</v>
      </c>
      <c r="G21" s="6">
        <v>653</v>
      </c>
      <c r="H21" s="5" t="s">
        <v>94</v>
      </c>
      <c r="I21" s="5" t="s">
        <v>107</v>
      </c>
      <c r="J21" s="6">
        <v>293</v>
      </c>
      <c r="K21" s="6">
        <v>0</v>
      </c>
      <c r="L21" s="5" t="s">
        <v>32</v>
      </c>
      <c r="M21" s="5">
        <f t="shared" si="0"/>
        <v>293</v>
      </c>
      <c r="N21" s="6">
        <v>0</v>
      </c>
      <c r="O21" s="6">
        <v>293</v>
      </c>
      <c r="P21" s="6">
        <v>0</v>
      </c>
      <c r="Q21" s="6">
        <v>0</v>
      </c>
      <c r="R21" s="5" t="s">
        <v>32</v>
      </c>
      <c r="S21" s="5" t="s">
        <v>32</v>
      </c>
      <c r="T21" s="5">
        <f t="shared" si="1"/>
        <v>0</v>
      </c>
      <c r="U21" s="6">
        <v>0</v>
      </c>
      <c r="V21" s="6">
        <v>0</v>
      </c>
      <c r="W21" s="6">
        <v>0</v>
      </c>
    </row>
    <row r="22" spans="1:23">
      <c r="A22" s="5" t="s">
        <v>24</v>
      </c>
      <c r="B22" s="5" t="s">
        <v>108</v>
      </c>
      <c r="C22" s="5" t="s">
        <v>109</v>
      </c>
      <c r="D22" s="5" t="s">
        <v>35</v>
      </c>
      <c r="E22" s="5" t="s">
        <v>110</v>
      </c>
      <c r="F22" s="5" t="s">
        <v>29</v>
      </c>
      <c r="G22" s="6">
        <v>1331</v>
      </c>
      <c r="H22" s="5" t="s">
        <v>111</v>
      </c>
      <c r="I22" s="5" t="s">
        <v>38</v>
      </c>
      <c r="J22" s="6">
        <v>1331</v>
      </c>
      <c r="K22" s="6">
        <v>0</v>
      </c>
      <c r="L22" s="5" t="s">
        <v>32</v>
      </c>
      <c r="M22" s="5">
        <f t="shared" si="0"/>
        <v>1130</v>
      </c>
      <c r="N22" s="6">
        <v>133</v>
      </c>
      <c r="O22" s="6">
        <v>399</v>
      </c>
      <c r="P22" s="6">
        <v>333</v>
      </c>
      <c r="Q22" s="6">
        <v>66</v>
      </c>
      <c r="R22" s="5" t="s">
        <v>32</v>
      </c>
      <c r="S22" s="5" t="s">
        <v>32</v>
      </c>
      <c r="T22" s="5">
        <f t="shared" si="1"/>
        <v>199</v>
      </c>
      <c r="U22" s="6">
        <v>66</v>
      </c>
      <c r="V22" s="6">
        <v>133</v>
      </c>
      <c r="W22" s="6">
        <v>201</v>
      </c>
    </row>
    <row r="23" spans="1:23">
      <c r="A23" s="5" t="s">
        <v>24</v>
      </c>
      <c r="B23" s="5" t="s">
        <v>112</v>
      </c>
      <c r="C23" s="5" t="s">
        <v>113</v>
      </c>
      <c r="D23" s="5" t="s">
        <v>35</v>
      </c>
      <c r="E23" s="5" t="s">
        <v>114</v>
      </c>
      <c r="F23" s="5" t="s">
        <v>57</v>
      </c>
      <c r="G23" s="6">
        <v>365</v>
      </c>
      <c r="H23" s="5" t="s">
        <v>115</v>
      </c>
      <c r="I23" s="5" t="s">
        <v>116</v>
      </c>
      <c r="J23" s="6">
        <v>365</v>
      </c>
      <c r="K23" s="6">
        <v>0</v>
      </c>
      <c r="L23" s="5" t="s">
        <v>32</v>
      </c>
      <c r="M23" s="5">
        <f t="shared" si="0"/>
        <v>365</v>
      </c>
      <c r="N23" s="6">
        <v>0</v>
      </c>
      <c r="O23" s="6">
        <v>365</v>
      </c>
      <c r="P23" s="6">
        <v>0</v>
      </c>
      <c r="Q23" s="6">
        <v>0</v>
      </c>
      <c r="R23" s="5" t="s">
        <v>32</v>
      </c>
      <c r="S23" s="5" t="s">
        <v>32</v>
      </c>
      <c r="T23" s="5">
        <f t="shared" si="1"/>
        <v>0</v>
      </c>
      <c r="U23" s="6">
        <v>0</v>
      </c>
      <c r="V23" s="6">
        <v>0</v>
      </c>
      <c r="W23" s="6">
        <v>0</v>
      </c>
    </row>
    <row r="24" spans="1:23">
      <c r="A24" s="5" t="s">
        <v>24</v>
      </c>
      <c r="B24" s="5" t="s">
        <v>112</v>
      </c>
      <c r="C24" s="5" t="s">
        <v>117</v>
      </c>
      <c r="D24" s="5" t="s">
        <v>35</v>
      </c>
      <c r="E24" s="5" t="s">
        <v>118</v>
      </c>
      <c r="F24" s="5" t="s">
        <v>57</v>
      </c>
      <c r="G24" s="6">
        <v>280</v>
      </c>
      <c r="H24" s="5" t="s">
        <v>115</v>
      </c>
      <c r="I24" s="5" t="s">
        <v>119</v>
      </c>
      <c r="J24" s="6">
        <v>280</v>
      </c>
      <c r="K24" s="6">
        <v>0</v>
      </c>
      <c r="L24" s="5" t="s">
        <v>32</v>
      </c>
      <c r="M24" s="5">
        <f t="shared" si="0"/>
        <v>280</v>
      </c>
      <c r="N24" s="6">
        <v>0</v>
      </c>
      <c r="O24" s="6">
        <v>280</v>
      </c>
      <c r="P24" s="6">
        <v>0</v>
      </c>
      <c r="Q24" s="6">
        <v>0</v>
      </c>
      <c r="R24" s="5" t="s">
        <v>32</v>
      </c>
      <c r="S24" s="5" t="s">
        <v>32</v>
      </c>
      <c r="T24" s="5">
        <f t="shared" si="1"/>
        <v>0</v>
      </c>
      <c r="U24" s="6">
        <v>0</v>
      </c>
      <c r="V24" s="6">
        <v>0</v>
      </c>
      <c r="W24" s="6">
        <v>0</v>
      </c>
    </row>
    <row r="25" spans="1:23">
      <c r="A25" s="5" t="s">
        <v>24</v>
      </c>
      <c r="B25" s="5" t="s">
        <v>120</v>
      </c>
      <c r="C25" s="5" t="s">
        <v>121</v>
      </c>
      <c r="D25" s="5" t="s">
        <v>83</v>
      </c>
      <c r="E25" s="5" t="s">
        <v>122</v>
      </c>
      <c r="F25" s="5" t="s">
        <v>57</v>
      </c>
      <c r="G25" s="6">
        <v>340</v>
      </c>
      <c r="H25" s="5" t="s">
        <v>115</v>
      </c>
      <c r="I25" s="5" t="s">
        <v>123</v>
      </c>
      <c r="J25" s="6">
        <v>340</v>
      </c>
      <c r="K25" s="6">
        <v>0</v>
      </c>
      <c r="L25" s="5" t="s">
        <v>32</v>
      </c>
      <c r="M25" s="5">
        <f t="shared" si="0"/>
        <v>340</v>
      </c>
      <c r="N25" s="6">
        <v>0</v>
      </c>
      <c r="O25" s="6">
        <v>340</v>
      </c>
      <c r="P25" s="6">
        <v>0</v>
      </c>
      <c r="Q25" s="6">
        <v>0</v>
      </c>
      <c r="R25" s="5" t="s">
        <v>32</v>
      </c>
      <c r="S25" s="5" t="s">
        <v>32</v>
      </c>
      <c r="T25" s="5">
        <f t="shared" si="1"/>
        <v>0</v>
      </c>
      <c r="U25" s="6">
        <v>0</v>
      </c>
      <c r="V25" s="6">
        <v>0</v>
      </c>
      <c r="W25" s="6">
        <v>0</v>
      </c>
    </row>
    <row r="26" spans="1:23">
      <c r="A26" s="5" t="s">
        <v>24</v>
      </c>
      <c r="B26" s="5" t="s">
        <v>69</v>
      </c>
      <c r="C26" s="5" t="s">
        <v>70</v>
      </c>
      <c r="D26" s="5" t="s">
        <v>71</v>
      </c>
      <c r="E26" s="5" t="s">
        <v>72</v>
      </c>
      <c r="F26" s="5" t="s">
        <v>29</v>
      </c>
      <c r="G26" s="6">
        <v>394</v>
      </c>
      <c r="H26" s="5" t="s">
        <v>115</v>
      </c>
      <c r="I26" s="5" t="s">
        <v>75</v>
      </c>
      <c r="J26" s="6">
        <v>327</v>
      </c>
      <c r="K26" s="6">
        <v>0</v>
      </c>
      <c r="L26" s="5" t="s">
        <v>32</v>
      </c>
      <c r="M26" s="5">
        <f t="shared" si="0"/>
        <v>278</v>
      </c>
      <c r="N26" s="6">
        <v>32</v>
      </c>
      <c r="O26" s="6">
        <v>98</v>
      </c>
      <c r="P26" s="6">
        <v>82</v>
      </c>
      <c r="Q26" s="6">
        <v>17</v>
      </c>
      <c r="R26" s="5" t="s">
        <v>32</v>
      </c>
      <c r="S26" s="5" t="s">
        <v>32</v>
      </c>
      <c r="T26" s="5">
        <f t="shared" si="1"/>
        <v>49</v>
      </c>
      <c r="U26" s="6">
        <v>17</v>
      </c>
      <c r="V26" s="6">
        <v>32</v>
      </c>
      <c r="W26" s="6">
        <v>49</v>
      </c>
    </row>
    <row r="27" spans="1:23">
      <c r="A27" s="5" t="s">
        <v>24</v>
      </c>
      <c r="B27" s="5" t="s">
        <v>124</v>
      </c>
      <c r="C27" s="5" t="s">
        <v>125</v>
      </c>
      <c r="D27" s="5" t="s">
        <v>35</v>
      </c>
      <c r="E27" s="5" t="s">
        <v>126</v>
      </c>
      <c r="F27" s="5" t="s">
        <v>57</v>
      </c>
      <c r="G27" s="6">
        <v>654</v>
      </c>
      <c r="H27" s="5" t="s">
        <v>115</v>
      </c>
      <c r="I27" s="5" t="s">
        <v>127</v>
      </c>
      <c r="J27" s="6">
        <v>654</v>
      </c>
      <c r="K27" s="6">
        <v>0</v>
      </c>
      <c r="L27" s="5" t="s">
        <v>32</v>
      </c>
      <c r="M27" s="5">
        <f t="shared" si="0"/>
        <v>654</v>
      </c>
      <c r="N27" s="6">
        <v>0</v>
      </c>
      <c r="O27" s="6">
        <v>654</v>
      </c>
      <c r="P27" s="6">
        <v>0</v>
      </c>
      <c r="Q27" s="6">
        <v>0</v>
      </c>
      <c r="R27" s="5" t="s">
        <v>32</v>
      </c>
      <c r="S27" s="5" t="s">
        <v>32</v>
      </c>
      <c r="T27" s="5">
        <f t="shared" si="1"/>
        <v>0</v>
      </c>
      <c r="U27" s="6">
        <v>0</v>
      </c>
      <c r="V27" s="6">
        <v>0</v>
      </c>
      <c r="W27" s="6">
        <v>0</v>
      </c>
    </row>
    <row r="28" spans="1:23">
      <c r="A28" s="5" t="s">
        <v>24</v>
      </c>
      <c r="B28" s="5" t="s">
        <v>128</v>
      </c>
      <c r="C28" s="5" t="s">
        <v>125</v>
      </c>
      <c r="D28" s="5" t="s">
        <v>35</v>
      </c>
      <c r="E28" s="5" t="s">
        <v>129</v>
      </c>
      <c r="F28" s="5" t="s">
        <v>57</v>
      </c>
      <c r="G28" s="6">
        <v>266</v>
      </c>
      <c r="H28" s="5" t="s">
        <v>115</v>
      </c>
      <c r="I28" s="5" t="s">
        <v>130</v>
      </c>
      <c r="J28" s="6">
        <v>266</v>
      </c>
      <c r="K28" s="6">
        <v>0</v>
      </c>
      <c r="L28" s="5" t="s">
        <v>32</v>
      </c>
      <c r="M28" s="5">
        <f t="shared" si="0"/>
        <v>266</v>
      </c>
      <c r="N28" s="6">
        <v>0</v>
      </c>
      <c r="O28" s="6">
        <v>266</v>
      </c>
      <c r="P28" s="6">
        <v>0</v>
      </c>
      <c r="Q28" s="6">
        <v>0</v>
      </c>
      <c r="R28" s="5" t="s">
        <v>32</v>
      </c>
      <c r="S28" s="5" t="s">
        <v>32</v>
      </c>
      <c r="T28" s="5">
        <f t="shared" si="1"/>
        <v>0</v>
      </c>
      <c r="U28" s="6">
        <v>0</v>
      </c>
      <c r="V28" s="6">
        <v>0</v>
      </c>
      <c r="W28" s="6">
        <v>0</v>
      </c>
    </row>
    <row r="29" spans="1:23">
      <c r="A29" s="5" t="s">
        <v>24</v>
      </c>
      <c r="B29" s="5" t="s">
        <v>128</v>
      </c>
      <c r="C29" s="5" t="s">
        <v>131</v>
      </c>
      <c r="D29" s="5" t="s">
        <v>35</v>
      </c>
      <c r="E29" s="5" t="s">
        <v>132</v>
      </c>
      <c r="F29" s="5" t="s">
        <v>57</v>
      </c>
      <c r="G29" s="6">
        <v>406</v>
      </c>
      <c r="H29" s="5" t="s">
        <v>115</v>
      </c>
      <c r="I29" s="5" t="s">
        <v>63</v>
      </c>
      <c r="J29" s="6">
        <v>406</v>
      </c>
      <c r="K29" s="6">
        <v>0</v>
      </c>
      <c r="L29" s="5" t="s">
        <v>32</v>
      </c>
      <c r="M29" s="5">
        <f t="shared" si="0"/>
        <v>406</v>
      </c>
      <c r="N29" s="6">
        <v>0</v>
      </c>
      <c r="O29" s="6">
        <v>406</v>
      </c>
      <c r="P29" s="6">
        <v>0</v>
      </c>
      <c r="Q29" s="6">
        <v>0</v>
      </c>
      <c r="R29" s="5" t="s">
        <v>32</v>
      </c>
      <c r="S29" s="5" t="s">
        <v>32</v>
      </c>
      <c r="T29" s="5">
        <f t="shared" si="1"/>
        <v>0</v>
      </c>
      <c r="U29" s="6">
        <v>0</v>
      </c>
      <c r="V29" s="6">
        <v>0</v>
      </c>
      <c r="W29" s="6">
        <v>0</v>
      </c>
    </row>
    <row r="30" spans="1:23">
      <c r="A30" s="5" t="s">
        <v>24</v>
      </c>
      <c r="B30" s="5" t="s">
        <v>133</v>
      </c>
      <c r="C30" s="5" t="s">
        <v>134</v>
      </c>
      <c r="D30" s="5" t="s">
        <v>135</v>
      </c>
      <c r="E30" s="5" t="s">
        <v>136</v>
      </c>
      <c r="F30" s="5" t="s">
        <v>57</v>
      </c>
      <c r="G30" s="6">
        <v>263</v>
      </c>
      <c r="H30" s="5" t="s">
        <v>115</v>
      </c>
      <c r="I30" s="5" t="s">
        <v>107</v>
      </c>
      <c r="J30" s="6">
        <v>263</v>
      </c>
      <c r="K30" s="6">
        <v>0</v>
      </c>
      <c r="L30" s="5" t="s">
        <v>32</v>
      </c>
      <c r="M30" s="5">
        <f t="shared" si="0"/>
        <v>263</v>
      </c>
      <c r="N30" s="6">
        <v>0</v>
      </c>
      <c r="O30" s="6">
        <v>263</v>
      </c>
      <c r="P30" s="6">
        <v>0</v>
      </c>
      <c r="Q30" s="6">
        <v>0</v>
      </c>
      <c r="R30" s="5" t="s">
        <v>32</v>
      </c>
      <c r="S30" s="5" t="s">
        <v>32</v>
      </c>
      <c r="T30" s="5">
        <f t="shared" si="1"/>
        <v>0</v>
      </c>
      <c r="U30" s="6">
        <v>0</v>
      </c>
      <c r="V30" s="6">
        <v>0</v>
      </c>
      <c r="W30" s="6">
        <v>0</v>
      </c>
    </row>
    <row r="31" spans="1:23">
      <c r="A31" s="5" t="s">
        <v>137</v>
      </c>
      <c r="B31" s="5" t="s">
        <v>138</v>
      </c>
      <c r="C31" s="5" t="s">
        <v>139</v>
      </c>
      <c r="D31" s="5" t="s">
        <v>35</v>
      </c>
      <c r="E31" s="5" t="s">
        <v>140</v>
      </c>
      <c r="F31" s="5" t="s">
        <v>57</v>
      </c>
      <c r="G31" s="6">
        <v>580</v>
      </c>
      <c r="H31" s="5" t="s">
        <v>141</v>
      </c>
      <c r="I31" s="5" t="s">
        <v>142</v>
      </c>
      <c r="J31" s="6">
        <v>580</v>
      </c>
      <c r="K31" s="6">
        <v>0</v>
      </c>
      <c r="L31" s="5" t="s">
        <v>32</v>
      </c>
      <c r="M31" s="5">
        <f t="shared" si="0"/>
        <v>580</v>
      </c>
      <c r="N31" s="6">
        <v>0</v>
      </c>
      <c r="O31" s="6">
        <v>580</v>
      </c>
      <c r="P31" s="6">
        <v>0</v>
      </c>
      <c r="Q31" s="6">
        <v>0</v>
      </c>
      <c r="R31" s="5" t="s">
        <v>32</v>
      </c>
      <c r="S31" s="5" t="s">
        <v>32</v>
      </c>
      <c r="T31" s="5">
        <f t="shared" si="1"/>
        <v>0</v>
      </c>
      <c r="U31" s="6">
        <v>0</v>
      </c>
      <c r="V31" s="6">
        <v>0</v>
      </c>
      <c r="W31" s="6">
        <v>0</v>
      </c>
    </row>
    <row r="32" spans="1:23">
      <c r="A32" s="5" t="s">
        <v>137</v>
      </c>
      <c r="B32" s="5" t="s">
        <v>87</v>
      </c>
      <c r="C32" s="5" t="s">
        <v>143</v>
      </c>
      <c r="D32" s="5" t="s">
        <v>35</v>
      </c>
      <c r="E32" s="5" t="s">
        <v>144</v>
      </c>
      <c r="F32" s="5" t="s">
        <v>29</v>
      </c>
      <c r="G32" s="6">
        <v>1304</v>
      </c>
      <c r="H32" s="5" t="s">
        <v>145</v>
      </c>
      <c r="I32" s="5" t="s">
        <v>75</v>
      </c>
      <c r="J32" s="6">
        <v>1304</v>
      </c>
      <c r="K32" s="6">
        <v>0</v>
      </c>
      <c r="L32" s="5" t="s">
        <v>32</v>
      </c>
      <c r="M32" s="5">
        <f t="shared" si="0"/>
        <v>1109</v>
      </c>
      <c r="N32" s="6">
        <v>130</v>
      </c>
      <c r="O32" s="6">
        <v>388</v>
      </c>
      <c r="P32" s="6">
        <v>324</v>
      </c>
      <c r="Q32" s="6">
        <v>65</v>
      </c>
      <c r="R32" s="5" t="s">
        <v>32</v>
      </c>
      <c r="S32" s="5" t="s">
        <v>32</v>
      </c>
      <c r="T32" s="5">
        <f t="shared" si="1"/>
        <v>202</v>
      </c>
      <c r="U32" s="6">
        <v>65</v>
      </c>
      <c r="V32" s="6">
        <v>137</v>
      </c>
      <c r="W32" s="6">
        <v>195</v>
      </c>
    </row>
    <row r="33" spans="1:23">
      <c r="A33" s="5" t="s">
        <v>137</v>
      </c>
      <c r="B33" s="5" t="s">
        <v>87</v>
      </c>
      <c r="C33" s="5" t="s">
        <v>146</v>
      </c>
      <c r="D33" s="5" t="s">
        <v>35</v>
      </c>
      <c r="E33" s="5" t="s">
        <v>147</v>
      </c>
      <c r="F33" s="5" t="s">
        <v>29</v>
      </c>
      <c r="G33" s="6">
        <v>995</v>
      </c>
      <c r="H33" s="5" t="s">
        <v>145</v>
      </c>
      <c r="I33" s="5" t="s">
        <v>148</v>
      </c>
      <c r="J33" s="6">
        <v>995</v>
      </c>
      <c r="K33" s="6">
        <v>0</v>
      </c>
      <c r="L33" s="5" t="s">
        <v>32</v>
      </c>
      <c r="M33" s="5">
        <f t="shared" si="0"/>
        <v>846</v>
      </c>
      <c r="N33" s="6">
        <v>99</v>
      </c>
      <c r="O33" s="6">
        <v>298</v>
      </c>
      <c r="P33" s="6">
        <v>248</v>
      </c>
      <c r="Q33" s="6">
        <v>49</v>
      </c>
      <c r="R33" s="5" t="s">
        <v>32</v>
      </c>
      <c r="S33" s="5" t="s">
        <v>32</v>
      </c>
      <c r="T33" s="5">
        <f t="shared" si="1"/>
        <v>152</v>
      </c>
      <c r="U33" s="6">
        <v>50</v>
      </c>
      <c r="V33" s="6">
        <v>102</v>
      </c>
      <c r="W33" s="6">
        <v>149</v>
      </c>
    </row>
    <row r="34" spans="1:23">
      <c r="A34" s="5" t="s">
        <v>137</v>
      </c>
      <c r="B34" s="5" t="s">
        <v>39</v>
      </c>
      <c r="C34" s="5" t="s">
        <v>149</v>
      </c>
      <c r="D34" s="5" t="s">
        <v>35</v>
      </c>
      <c r="E34" s="5" t="s">
        <v>150</v>
      </c>
      <c r="F34" s="5" t="s">
        <v>29</v>
      </c>
      <c r="G34" s="6">
        <v>1582</v>
      </c>
      <c r="H34" s="5" t="s">
        <v>151</v>
      </c>
      <c r="I34" s="5" t="s">
        <v>130</v>
      </c>
      <c r="J34" s="6">
        <v>1582</v>
      </c>
      <c r="K34" s="6">
        <v>0</v>
      </c>
      <c r="L34" s="5" t="s">
        <v>32</v>
      </c>
      <c r="M34" s="5">
        <f t="shared" si="0"/>
        <v>1342</v>
      </c>
      <c r="N34" s="6">
        <v>158</v>
      </c>
      <c r="O34" s="6">
        <v>473</v>
      </c>
      <c r="P34" s="6">
        <v>395</v>
      </c>
      <c r="Q34" s="6">
        <v>79</v>
      </c>
      <c r="R34" s="5" t="s">
        <v>32</v>
      </c>
      <c r="S34" s="5" t="s">
        <v>32</v>
      </c>
      <c r="T34" s="5">
        <f t="shared" si="1"/>
        <v>237</v>
      </c>
      <c r="U34" s="6">
        <v>79</v>
      </c>
      <c r="V34" s="6">
        <v>158</v>
      </c>
      <c r="W34" s="6">
        <v>240</v>
      </c>
    </row>
    <row r="35" spans="1:23">
      <c r="A35" s="5" t="s">
        <v>137</v>
      </c>
      <c r="B35" s="5" t="s">
        <v>152</v>
      </c>
      <c r="C35" s="5" t="s">
        <v>45</v>
      </c>
      <c r="D35" s="5" t="s">
        <v>35</v>
      </c>
      <c r="E35" s="5" t="s">
        <v>153</v>
      </c>
      <c r="F35" s="5" t="s">
        <v>29</v>
      </c>
      <c r="G35" s="6">
        <v>644</v>
      </c>
      <c r="H35" s="5" t="s">
        <v>154</v>
      </c>
      <c r="I35" s="5" t="s">
        <v>86</v>
      </c>
      <c r="J35" s="6">
        <v>644</v>
      </c>
      <c r="K35" s="6">
        <v>0</v>
      </c>
      <c r="L35" s="5" t="s">
        <v>32</v>
      </c>
      <c r="M35" s="5">
        <f t="shared" si="0"/>
        <v>551</v>
      </c>
      <c r="N35" s="6">
        <v>64</v>
      </c>
      <c r="O35" s="6">
        <v>193</v>
      </c>
      <c r="P35" s="6">
        <v>161</v>
      </c>
      <c r="Q35" s="6">
        <v>32</v>
      </c>
      <c r="R35" s="5" t="s">
        <v>32</v>
      </c>
      <c r="S35" s="5" t="s">
        <v>32</v>
      </c>
      <c r="T35" s="5">
        <f t="shared" si="1"/>
        <v>101</v>
      </c>
      <c r="U35" s="6">
        <v>32</v>
      </c>
      <c r="V35" s="6">
        <v>69</v>
      </c>
      <c r="W35" s="6">
        <v>93</v>
      </c>
    </row>
    <row r="36" spans="1:23">
      <c r="A36" s="5" t="s">
        <v>137</v>
      </c>
      <c r="B36" s="5" t="s">
        <v>112</v>
      </c>
      <c r="C36" s="5" t="s">
        <v>155</v>
      </c>
      <c r="D36" s="5" t="s">
        <v>35</v>
      </c>
      <c r="E36" s="5" t="s">
        <v>156</v>
      </c>
      <c r="F36" s="5" t="s">
        <v>57</v>
      </c>
      <c r="G36" s="6">
        <v>545</v>
      </c>
      <c r="H36" s="5" t="s">
        <v>157</v>
      </c>
      <c r="I36" s="5" t="s">
        <v>158</v>
      </c>
      <c r="J36" s="6">
        <v>227</v>
      </c>
      <c r="K36" s="6">
        <v>0</v>
      </c>
      <c r="L36" s="5" t="s">
        <v>32</v>
      </c>
      <c r="M36" s="5">
        <f t="shared" si="0"/>
        <v>227</v>
      </c>
      <c r="N36" s="6">
        <v>0</v>
      </c>
      <c r="O36" s="6">
        <v>227</v>
      </c>
      <c r="P36" s="6">
        <v>0</v>
      </c>
      <c r="Q36" s="6">
        <v>0</v>
      </c>
      <c r="R36" s="5" t="s">
        <v>32</v>
      </c>
      <c r="S36" s="5" t="s">
        <v>32</v>
      </c>
      <c r="T36" s="5">
        <f t="shared" si="1"/>
        <v>0</v>
      </c>
      <c r="U36" s="6">
        <v>0</v>
      </c>
      <c r="V36" s="6">
        <v>0</v>
      </c>
      <c r="W36" s="6">
        <v>0</v>
      </c>
    </row>
    <row r="37" spans="1:23">
      <c r="A37" s="5" t="s">
        <v>137</v>
      </c>
      <c r="B37" s="5" t="s">
        <v>159</v>
      </c>
      <c r="C37" s="5" t="s">
        <v>160</v>
      </c>
      <c r="D37" s="5" t="s">
        <v>35</v>
      </c>
      <c r="E37" s="5" t="s">
        <v>161</v>
      </c>
      <c r="F37" s="5" t="s">
        <v>29</v>
      </c>
      <c r="G37" s="6">
        <v>660</v>
      </c>
      <c r="H37" s="5" t="s">
        <v>162</v>
      </c>
      <c r="I37" s="5" t="s">
        <v>75</v>
      </c>
      <c r="J37" s="6">
        <v>660</v>
      </c>
      <c r="K37" s="6">
        <v>0</v>
      </c>
      <c r="L37" s="5" t="s">
        <v>32</v>
      </c>
      <c r="M37" s="5">
        <f t="shared" si="0"/>
        <v>561</v>
      </c>
      <c r="N37" s="6">
        <v>66</v>
      </c>
      <c r="O37" s="6">
        <v>198</v>
      </c>
      <c r="P37" s="6">
        <v>165</v>
      </c>
      <c r="Q37" s="6">
        <v>33</v>
      </c>
      <c r="R37" s="5" t="s">
        <v>32</v>
      </c>
      <c r="S37" s="5" t="s">
        <v>32</v>
      </c>
      <c r="T37" s="5">
        <f t="shared" si="1"/>
        <v>99</v>
      </c>
      <c r="U37" s="6">
        <v>33</v>
      </c>
      <c r="V37" s="6">
        <v>66</v>
      </c>
      <c r="W37" s="6">
        <v>99</v>
      </c>
    </row>
    <row r="38" spans="1:23">
      <c r="A38" s="5" t="s">
        <v>137</v>
      </c>
      <c r="B38" s="5" t="s">
        <v>76</v>
      </c>
      <c r="C38" s="5" t="s">
        <v>163</v>
      </c>
      <c r="D38" s="5" t="s">
        <v>35</v>
      </c>
      <c r="E38" s="5" t="s">
        <v>164</v>
      </c>
      <c r="F38" s="5" t="s">
        <v>29</v>
      </c>
      <c r="G38" s="6">
        <v>534</v>
      </c>
      <c r="H38" s="5" t="s">
        <v>162</v>
      </c>
      <c r="I38" s="5" t="s">
        <v>107</v>
      </c>
      <c r="J38" s="6">
        <v>534</v>
      </c>
      <c r="K38" s="6">
        <v>0</v>
      </c>
      <c r="L38" s="5" t="s">
        <v>32</v>
      </c>
      <c r="M38" s="5">
        <f t="shared" si="0"/>
        <v>451</v>
      </c>
      <c r="N38" s="6">
        <v>53</v>
      </c>
      <c r="O38" s="6">
        <v>160</v>
      </c>
      <c r="P38" s="6">
        <v>133</v>
      </c>
      <c r="Q38" s="6">
        <v>26</v>
      </c>
      <c r="R38" s="5" t="s">
        <v>32</v>
      </c>
      <c r="S38" s="5" t="s">
        <v>32</v>
      </c>
      <c r="T38" s="5">
        <f t="shared" si="1"/>
        <v>79</v>
      </c>
      <c r="U38" s="6">
        <v>26</v>
      </c>
      <c r="V38" s="6">
        <v>53</v>
      </c>
      <c r="W38" s="6">
        <v>83</v>
      </c>
    </row>
    <row r="39" spans="1:23">
      <c r="A39" s="5" t="s">
        <v>137</v>
      </c>
      <c r="B39" s="5" t="s">
        <v>165</v>
      </c>
      <c r="C39" s="5" t="s">
        <v>26</v>
      </c>
      <c r="D39" s="5" t="s">
        <v>166</v>
      </c>
      <c r="E39" s="5" t="s">
        <v>167</v>
      </c>
      <c r="F39" s="5" t="s">
        <v>57</v>
      </c>
      <c r="G39" s="6">
        <v>348</v>
      </c>
      <c r="H39" s="5" t="s">
        <v>168</v>
      </c>
      <c r="I39" s="5" t="s">
        <v>169</v>
      </c>
      <c r="J39" s="6">
        <v>348</v>
      </c>
      <c r="K39" s="6">
        <v>0</v>
      </c>
      <c r="L39" s="5" t="s">
        <v>32</v>
      </c>
      <c r="M39" s="5">
        <f t="shared" si="0"/>
        <v>348</v>
      </c>
      <c r="N39" s="6">
        <v>0</v>
      </c>
      <c r="O39" s="6">
        <v>348</v>
      </c>
      <c r="P39" s="6">
        <v>0</v>
      </c>
      <c r="Q39" s="6">
        <v>0</v>
      </c>
      <c r="R39" s="5" t="s">
        <v>32</v>
      </c>
      <c r="S39" s="5" t="s">
        <v>32</v>
      </c>
      <c r="T39" s="5">
        <f t="shared" si="1"/>
        <v>0</v>
      </c>
      <c r="U39" s="6">
        <v>0</v>
      </c>
      <c r="V39" s="6">
        <v>0</v>
      </c>
      <c r="W39" s="6">
        <v>0</v>
      </c>
    </row>
    <row r="40" spans="1:23">
      <c r="A40" s="5" t="s">
        <v>137</v>
      </c>
      <c r="B40" s="5" t="s">
        <v>170</v>
      </c>
      <c r="C40" s="5" t="s">
        <v>171</v>
      </c>
      <c r="D40" s="5" t="s">
        <v>27</v>
      </c>
      <c r="E40" s="5" t="s">
        <v>172</v>
      </c>
      <c r="F40" s="5" t="s">
        <v>29</v>
      </c>
      <c r="G40" s="6">
        <v>702</v>
      </c>
      <c r="H40" s="5" t="s">
        <v>173</v>
      </c>
      <c r="I40" s="5" t="s">
        <v>413</v>
      </c>
      <c r="J40" s="6">
        <v>702</v>
      </c>
      <c r="K40" s="6">
        <v>0</v>
      </c>
      <c r="L40" s="5" t="s">
        <v>32</v>
      </c>
      <c r="M40" s="5">
        <f t="shared" si="0"/>
        <v>597</v>
      </c>
      <c r="N40" s="6">
        <v>70</v>
      </c>
      <c r="O40" s="6">
        <v>210</v>
      </c>
      <c r="P40" s="6">
        <v>175</v>
      </c>
      <c r="Q40" s="6">
        <v>35</v>
      </c>
      <c r="R40" s="5" t="s">
        <v>32</v>
      </c>
      <c r="S40" s="5" t="s">
        <v>32</v>
      </c>
      <c r="T40" s="5">
        <f t="shared" si="1"/>
        <v>107</v>
      </c>
      <c r="U40" s="6">
        <v>35</v>
      </c>
      <c r="V40" s="6">
        <v>72</v>
      </c>
      <c r="W40" s="6">
        <v>105</v>
      </c>
    </row>
    <row r="41" spans="1:23">
      <c r="A41" s="5" t="s">
        <v>137</v>
      </c>
      <c r="B41" s="5" t="s">
        <v>170</v>
      </c>
      <c r="C41" s="5" t="s">
        <v>174</v>
      </c>
      <c r="D41" s="5" t="s">
        <v>27</v>
      </c>
      <c r="E41" s="5" t="s">
        <v>172</v>
      </c>
      <c r="F41" s="5" t="s">
        <v>29</v>
      </c>
      <c r="G41" s="6">
        <v>964</v>
      </c>
      <c r="H41" s="5" t="s">
        <v>173</v>
      </c>
      <c r="I41" s="5" t="s">
        <v>413</v>
      </c>
      <c r="J41" s="6">
        <v>964</v>
      </c>
      <c r="K41" s="6">
        <v>0</v>
      </c>
      <c r="L41" s="5" t="s">
        <v>32</v>
      </c>
      <c r="M41" s="5">
        <f t="shared" si="0"/>
        <v>819</v>
      </c>
      <c r="N41" s="6">
        <v>96</v>
      </c>
      <c r="O41" s="6">
        <v>289</v>
      </c>
      <c r="P41" s="6">
        <v>241</v>
      </c>
      <c r="Q41" s="6">
        <v>48</v>
      </c>
      <c r="R41" s="5" t="s">
        <v>32</v>
      </c>
      <c r="S41" s="5" t="s">
        <v>32</v>
      </c>
      <c r="T41" s="5">
        <f t="shared" si="1"/>
        <v>145</v>
      </c>
      <c r="U41" s="6">
        <v>48</v>
      </c>
      <c r="V41" s="6">
        <v>97</v>
      </c>
      <c r="W41" s="6">
        <v>145</v>
      </c>
    </row>
    <row r="42" spans="1:23">
      <c r="A42" s="5" t="s">
        <v>137</v>
      </c>
      <c r="B42" s="5" t="s">
        <v>95</v>
      </c>
      <c r="C42" s="5" t="s">
        <v>175</v>
      </c>
      <c r="D42" s="5" t="s">
        <v>35</v>
      </c>
      <c r="E42" s="5" t="s">
        <v>176</v>
      </c>
      <c r="F42" s="5" t="s">
        <v>29</v>
      </c>
      <c r="G42" s="6">
        <v>612</v>
      </c>
      <c r="H42" s="5" t="s">
        <v>177</v>
      </c>
      <c r="I42" s="5" t="s">
        <v>158</v>
      </c>
      <c r="J42" s="6">
        <v>612</v>
      </c>
      <c r="K42" s="6">
        <v>0</v>
      </c>
      <c r="L42" s="5" t="s">
        <v>32</v>
      </c>
      <c r="M42" s="5">
        <f t="shared" si="0"/>
        <v>523</v>
      </c>
      <c r="N42" s="6">
        <v>59</v>
      </c>
      <c r="O42" s="6">
        <v>179</v>
      </c>
      <c r="P42" s="6">
        <v>149</v>
      </c>
      <c r="Q42" s="6">
        <v>30</v>
      </c>
      <c r="R42" s="5" t="s">
        <v>32</v>
      </c>
      <c r="S42" s="5" t="s">
        <v>32</v>
      </c>
      <c r="T42" s="5">
        <f t="shared" si="1"/>
        <v>106</v>
      </c>
      <c r="U42" s="6">
        <v>30</v>
      </c>
      <c r="V42" s="6">
        <v>76</v>
      </c>
      <c r="W42" s="6">
        <v>89</v>
      </c>
    </row>
    <row r="43" spans="1:23">
      <c r="A43" s="5" t="s">
        <v>137</v>
      </c>
      <c r="B43" s="5" t="s">
        <v>178</v>
      </c>
      <c r="C43" s="5" t="s">
        <v>55</v>
      </c>
      <c r="D43" s="5" t="s">
        <v>135</v>
      </c>
      <c r="E43" s="5" t="s">
        <v>179</v>
      </c>
      <c r="F43" s="5" t="s">
        <v>29</v>
      </c>
      <c r="G43" s="6">
        <v>402</v>
      </c>
      <c r="H43" s="5" t="s">
        <v>180</v>
      </c>
      <c r="I43" s="5" t="s">
        <v>80</v>
      </c>
      <c r="J43" s="6">
        <v>402</v>
      </c>
      <c r="K43" s="6">
        <v>0</v>
      </c>
      <c r="L43" s="5" t="s">
        <v>32</v>
      </c>
      <c r="M43" s="5">
        <f t="shared" si="0"/>
        <v>340</v>
      </c>
      <c r="N43" s="6">
        <v>40</v>
      </c>
      <c r="O43" s="6">
        <v>120</v>
      </c>
      <c r="P43" s="6">
        <v>100</v>
      </c>
      <c r="Q43" s="6">
        <v>20</v>
      </c>
      <c r="R43" s="5" t="s">
        <v>32</v>
      </c>
      <c r="S43" s="5" t="s">
        <v>32</v>
      </c>
      <c r="T43" s="5">
        <f t="shared" si="1"/>
        <v>60</v>
      </c>
      <c r="U43" s="6">
        <v>20</v>
      </c>
      <c r="V43" s="6">
        <v>40</v>
      </c>
      <c r="W43" s="6">
        <v>62</v>
      </c>
    </row>
    <row r="44" spans="1:23">
      <c r="A44" s="5" t="s">
        <v>137</v>
      </c>
      <c r="B44" s="5" t="s">
        <v>181</v>
      </c>
      <c r="C44" s="5" t="s">
        <v>182</v>
      </c>
      <c r="D44" s="5" t="s">
        <v>27</v>
      </c>
      <c r="E44" s="5" t="s">
        <v>183</v>
      </c>
      <c r="F44" s="5" t="s">
        <v>29</v>
      </c>
      <c r="G44" s="6">
        <v>600</v>
      </c>
      <c r="H44" s="5" t="s">
        <v>184</v>
      </c>
      <c r="I44" s="5" t="s">
        <v>169</v>
      </c>
      <c r="J44" s="6">
        <v>600</v>
      </c>
      <c r="K44" s="6">
        <v>0</v>
      </c>
      <c r="L44" s="5" t="s">
        <v>32</v>
      </c>
      <c r="M44" s="5">
        <f t="shared" si="0"/>
        <v>510</v>
      </c>
      <c r="N44" s="6">
        <v>60</v>
      </c>
      <c r="O44" s="6">
        <v>180</v>
      </c>
      <c r="P44" s="6">
        <v>150</v>
      </c>
      <c r="Q44" s="6">
        <v>30</v>
      </c>
      <c r="R44" s="5" t="s">
        <v>32</v>
      </c>
      <c r="S44" s="5" t="s">
        <v>32</v>
      </c>
      <c r="T44" s="5">
        <f t="shared" si="1"/>
        <v>90</v>
      </c>
      <c r="U44" s="6">
        <v>30</v>
      </c>
      <c r="V44" s="6">
        <v>60</v>
      </c>
      <c r="W44" s="6">
        <v>90</v>
      </c>
    </row>
    <row r="45" spans="1:23">
      <c r="A45" s="5" t="s">
        <v>137</v>
      </c>
      <c r="B45" s="5" t="s">
        <v>185</v>
      </c>
      <c r="C45" s="5" t="s">
        <v>186</v>
      </c>
      <c r="D45" s="5" t="s">
        <v>187</v>
      </c>
      <c r="E45" s="5" t="s">
        <v>188</v>
      </c>
      <c r="F45" s="5" t="s">
        <v>29</v>
      </c>
      <c r="G45" s="6">
        <v>995</v>
      </c>
      <c r="H45" s="5" t="s">
        <v>189</v>
      </c>
      <c r="I45" s="5" t="s">
        <v>123</v>
      </c>
      <c r="J45" s="6">
        <v>995</v>
      </c>
      <c r="K45" s="6">
        <v>0</v>
      </c>
      <c r="L45" s="5" t="s">
        <v>32</v>
      </c>
      <c r="M45" s="5">
        <f t="shared" si="0"/>
        <v>841</v>
      </c>
      <c r="N45" s="6">
        <v>99</v>
      </c>
      <c r="O45" s="6">
        <v>297</v>
      </c>
      <c r="P45" s="6">
        <v>248</v>
      </c>
      <c r="Q45" s="6">
        <v>49</v>
      </c>
      <c r="R45" s="5" t="s">
        <v>32</v>
      </c>
      <c r="S45" s="5" t="s">
        <v>32</v>
      </c>
      <c r="T45" s="5">
        <f t="shared" si="1"/>
        <v>148</v>
      </c>
      <c r="U45" s="6">
        <v>49</v>
      </c>
      <c r="V45" s="6">
        <v>99</v>
      </c>
      <c r="W45" s="6">
        <v>154</v>
      </c>
    </row>
    <row r="46" spans="1:23">
      <c r="A46" s="5" t="s">
        <v>137</v>
      </c>
      <c r="B46" s="5" t="s">
        <v>190</v>
      </c>
      <c r="C46" s="5" t="s">
        <v>175</v>
      </c>
      <c r="D46" s="5" t="s">
        <v>35</v>
      </c>
      <c r="E46" s="5" t="s">
        <v>191</v>
      </c>
      <c r="F46" s="5" t="s">
        <v>57</v>
      </c>
      <c r="G46" s="6">
        <v>193</v>
      </c>
      <c r="H46" s="5" t="s">
        <v>192</v>
      </c>
      <c r="I46" s="5" t="s">
        <v>193</v>
      </c>
      <c r="J46" s="6">
        <v>193</v>
      </c>
      <c r="K46" s="6">
        <v>0</v>
      </c>
      <c r="L46" s="5" t="s">
        <v>32</v>
      </c>
      <c r="M46" s="5">
        <f t="shared" si="0"/>
        <v>193</v>
      </c>
      <c r="N46" s="6">
        <v>0</v>
      </c>
      <c r="O46" s="6">
        <v>193</v>
      </c>
      <c r="P46" s="6">
        <v>0</v>
      </c>
      <c r="Q46" s="6">
        <v>0</v>
      </c>
      <c r="R46" s="5" t="s">
        <v>32</v>
      </c>
      <c r="S46" s="5" t="s">
        <v>32</v>
      </c>
      <c r="T46" s="5">
        <f t="shared" si="1"/>
        <v>0</v>
      </c>
      <c r="U46" s="6">
        <v>0</v>
      </c>
      <c r="V46" s="6">
        <v>0</v>
      </c>
      <c r="W46" s="6">
        <v>0</v>
      </c>
    </row>
    <row r="47" spans="1:23">
      <c r="A47" s="5" t="s">
        <v>194</v>
      </c>
      <c r="B47" s="5" t="s">
        <v>159</v>
      </c>
      <c r="C47" s="5" t="s">
        <v>195</v>
      </c>
      <c r="D47" s="5" t="s">
        <v>35</v>
      </c>
      <c r="E47" s="5" t="s">
        <v>196</v>
      </c>
      <c r="F47" s="5" t="s">
        <v>29</v>
      </c>
      <c r="G47" s="6">
        <v>1498</v>
      </c>
      <c r="H47" s="5" t="s">
        <v>197</v>
      </c>
      <c r="I47" s="5" t="s">
        <v>123</v>
      </c>
      <c r="J47" s="6">
        <v>1498</v>
      </c>
      <c r="K47" s="6">
        <v>0</v>
      </c>
      <c r="L47" s="5" t="s">
        <v>32</v>
      </c>
      <c r="M47" s="5">
        <f t="shared" si="0"/>
        <v>1269</v>
      </c>
      <c r="N47" s="6">
        <v>149</v>
      </c>
      <c r="O47" s="6">
        <v>449</v>
      </c>
      <c r="P47" s="6">
        <v>374</v>
      </c>
      <c r="Q47" s="6">
        <v>74</v>
      </c>
      <c r="R47" s="5" t="s">
        <v>32</v>
      </c>
      <c r="S47" s="5" t="s">
        <v>32</v>
      </c>
      <c r="T47" s="5">
        <f t="shared" si="1"/>
        <v>223</v>
      </c>
      <c r="U47" s="6">
        <v>74</v>
      </c>
      <c r="V47" s="6">
        <v>149</v>
      </c>
      <c r="W47" s="6">
        <v>229</v>
      </c>
    </row>
    <row r="48" spans="1:23">
      <c r="A48" s="5" t="s">
        <v>194</v>
      </c>
      <c r="B48" s="5" t="s">
        <v>185</v>
      </c>
      <c r="C48" s="5" t="s">
        <v>198</v>
      </c>
      <c r="D48" s="5" t="s">
        <v>187</v>
      </c>
      <c r="E48" s="5" t="s">
        <v>199</v>
      </c>
      <c r="F48" s="5" t="s">
        <v>57</v>
      </c>
      <c r="G48" s="6">
        <v>876</v>
      </c>
      <c r="H48" s="5" t="s">
        <v>200</v>
      </c>
      <c r="I48" s="5" t="s">
        <v>201</v>
      </c>
      <c r="J48" s="6">
        <v>316</v>
      </c>
      <c r="K48" s="6">
        <v>0</v>
      </c>
      <c r="L48" s="5" t="s">
        <v>32</v>
      </c>
      <c r="M48" s="5">
        <f t="shared" si="0"/>
        <v>316</v>
      </c>
      <c r="N48" s="6">
        <v>0</v>
      </c>
      <c r="O48" s="6">
        <v>316</v>
      </c>
      <c r="P48" s="6">
        <v>0</v>
      </c>
      <c r="Q48" s="6">
        <v>0</v>
      </c>
      <c r="R48" s="5" t="s">
        <v>32</v>
      </c>
      <c r="S48" s="5" t="s">
        <v>32</v>
      </c>
      <c r="T48" s="5">
        <f t="shared" si="1"/>
        <v>0</v>
      </c>
      <c r="U48" s="6">
        <v>0</v>
      </c>
      <c r="V48" s="6">
        <v>0</v>
      </c>
      <c r="W48" s="6">
        <v>0</v>
      </c>
    </row>
    <row r="49" spans="1:23">
      <c r="A49" s="5" t="s">
        <v>194</v>
      </c>
      <c r="B49" s="5" t="s">
        <v>39</v>
      </c>
      <c r="C49" s="5" t="s">
        <v>202</v>
      </c>
      <c r="D49" s="5" t="s">
        <v>35</v>
      </c>
      <c r="E49" s="5" t="s">
        <v>203</v>
      </c>
      <c r="F49" s="5" t="s">
        <v>57</v>
      </c>
      <c r="G49" s="6">
        <v>256</v>
      </c>
      <c r="H49" s="5" t="s">
        <v>204</v>
      </c>
      <c r="I49" s="5" t="s">
        <v>68</v>
      </c>
      <c r="J49" s="6">
        <v>256</v>
      </c>
      <c r="K49" s="6">
        <v>0</v>
      </c>
      <c r="L49" s="5" t="s">
        <v>32</v>
      </c>
      <c r="M49" s="5">
        <f t="shared" si="0"/>
        <v>256</v>
      </c>
      <c r="N49" s="6">
        <v>0</v>
      </c>
      <c r="O49" s="6">
        <v>256</v>
      </c>
      <c r="P49" s="6">
        <v>0</v>
      </c>
      <c r="Q49" s="6">
        <v>0</v>
      </c>
      <c r="R49" s="5" t="s">
        <v>32</v>
      </c>
      <c r="S49" s="5" t="s">
        <v>32</v>
      </c>
      <c r="T49" s="5">
        <f t="shared" si="1"/>
        <v>0</v>
      </c>
      <c r="U49" s="6">
        <v>0</v>
      </c>
      <c r="V49" s="6">
        <v>0</v>
      </c>
      <c r="W49" s="6">
        <v>0</v>
      </c>
    </row>
    <row r="50" spans="1:23">
      <c r="A50" s="5" t="s">
        <v>194</v>
      </c>
      <c r="B50" s="5" t="s">
        <v>205</v>
      </c>
      <c r="C50" s="5" t="s">
        <v>206</v>
      </c>
      <c r="D50" s="5" t="s">
        <v>207</v>
      </c>
      <c r="E50" s="5" t="s">
        <v>208</v>
      </c>
      <c r="F50" s="5" t="s">
        <v>57</v>
      </c>
      <c r="G50" s="6">
        <v>492</v>
      </c>
      <c r="H50" s="5" t="s">
        <v>209</v>
      </c>
      <c r="I50" s="5" t="s">
        <v>210</v>
      </c>
      <c r="J50" s="6">
        <v>492</v>
      </c>
      <c r="K50" s="6">
        <v>0</v>
      </c>
      <c r="L50" s="5" t="s">
        <v>32</v>
      </c>
      <c r="M50" s="5">
        <f t="shared" si="0"/>
        <v>492</v>
      </c>
      <c r="N50" s="6">
        <v>0</v>
      </c>
      <c r="O50" s="6">
        <v>492</v>
      </c>
      <c r="P50" s="6">
        <v>0</v>
      </c>
      <c r="Q50" s="6">
        <v>0</v>
      </c>
      <c r="R50" s="5" t="s">
        <v>32</v>
      </c>
      <c r="S50" s="5" t="s">
        <v>32</v>
      </c>
      <c r="T50" s="5">
        <f t="shared" si="1"/>
        <v>0</v>
      </c>
      <c r="U50" s="6">
        <v>0</v>
      </c>
      <c r="V50" s="6">
        <v>0</v>
      </c>
      <c r="W50" s="6">
        <v>0</v>
      </c>
    </row>
    <row r="51" spans="1:23">
      <c r="A51" s="5" t="s">
        <v>194</v>
      </c>
      <c r="B51" s="5" t="s">
        <v>205</v>
      </c>
      <c r="C51" s="5" t="s">
        <v>211</v>
      </c>
      <c r="D51" s="5" t="s">
        <v>207</v>
      </c>
      <c r="E51" s="5" t="s">
        <v>212</v>
      </c>
      <c r="F51" s="5" t="s">
        <v>57</v>
      </c>
      <c r="G51" s="6">
        <v>249</v>
      </c>
      <c r="H51" s="5" t="s">
        <v>209</v>
      </c>
      <c r="I51" s="5" t="s">
        <v>210</v>
      </c>
      <c r="J51" s="6">
        <v>249</v>
      </c>
      <c r="K51" s="6">
        <v>0</v>
      </c>
      <c r="L51" s="5" t="s">
        <v>32</v>
      </c>
      <c r="M51" s="5">
        <f t="shared" si="0"/>
        <v>249</v>
      </c>
      <c r="N51" s="6">
        <v>0</v>
      </c>
      <c r="O51" s="6">
        <v>249</v>
      </c>
      <c r="P51" s="6">
        <v>0</v>
      </c>
      <c r="Q51" s="6">
        <v>0</v>
      </c>
      <c r="R51" s="5" t="s">
        <v>32</v>
      </c>
      <c r="S51" s="5" t="s">
        <v>32</v>
      </c>
      <c r="T51" s="5">
        <f t="shared" si="1"/>
        <v>0</v>
      </c>
      <c r="U51" s="6">
        <v>0</v>
      </c>
      <c r="V51" s="6">
        <v>0</v>
      </c>
      <c r="W51" s="6">
        <v>0</v>
      </c>
    </row>
    <row r="52" spans="1:23">
      <c r="A52" s="5" t="s">
        <v>194</v>
      </c>
      <c r="B52" s="5" t="s">
        <v>213</v>
      </c>
      <c r="C52" s="5" t="s">
        <v>55</v>
      </c>
      <c r="D52" s="5" t="s">
        <v>135</v>
      </c>
      <c r="E52" s="5" t="s">
        <v>214</v>
      </c>
      <c r="F52" s="5" t="s">
        <v>57</v>
      </c>
      <c r="G52" s="6">
        <v>320</v>
      </c>
      <c r="H52" s="5" t="s">
        <v>215</v>
      </c>
      <c r="I52" s="5" t="s">
        <v>123</v>
      </c>
      <c r="J52" s="6">
        <v>320</v>
      </c>
      <c r="K52" s="6">
        <v>0</v>
      </c>
      <c r="L52" s="5" t="s">
        <v>32</v>
      </c>
      <c r="M52" s="5">
        <f t="shared" si="0"/>
        <v>320</v>
      </c>
      <c r="N52" s="6">
        <v>0</v>
      </c>
      <c r="O52" s="6">
        <v>320</v>
      </c>
      <c r="P52" s="6">
        <v>0</v>
      </c>
      <c r="Q52" s="6">
        <v>0</v>
      </c>
      <c r="R52" s="5" t="s">
        <v>32</v>
      </c>
      <c r="S52" s="5" t="s">
        <v>32</v>
      </c>
      <c r="T52" s="5">
        <f t="shared" si="1"/>
        <v>0</v>
      </c>
      <c r="U52" s="6">
        <v>0</v>
      </c>
      <c r="V52" s="6">
        <v>0</v>
      </c>
      <c r="W52" s="6">
        <v>0</v>
      </c>
    </row>
    <row r="53" spans="1:23">
      <c r="A53" s="5" t="s">
        <v>194</v>
      </c>
      <c r="B53" s="5" t="s">
        <v>87</v>
      </c>
      <c r="C53" s="5" t="s">
        <v>216</v>
      </c>
      <c r="D53" s="5" t="s">
        <v>35</v>
      </c>
      <c r="E53" s="5" t="s">
        <v>217</v>
      </c>
      <c r="F53" s="5" t="s">
        <v>29</v>
      </c>
      <c r="G53" s="6">
        <v>869</v>
      </c>
      <c r="H53" s="5" t="s">
        <v>218</v>
      </c>
      <c r="I53" s="5" t="s">
        <v>219</v>
      </c>
      <c r="J53" s="6">
        <v>869</v>
      </c>
      <c r="K53" s="6">
        <v>612</v>
      </c>
      <c r="L53" s="5" t="s">
        <v>32</v>
      </c>
      <c r="M53" s="5">
        <f t="shared" si="0"/>
        <v>218</v>
      </c>
      <c r="N53" s="6">
        <v>26</v>
      </c>
      <c r="O53" s="6">
        <v>77</v>
      </c>
      <c r="P53" s="6">
        <v>64</v>
      </c>
      <c r="Q53" s="6">
        <v>13</v>
      </c>
      <c r="R53" s="5" t="s">
        <v>32</v>
      </c>
      <c r="S53" s="5" t="s">
        <v>32</v>
      </c>
      <c r="T53" s="5">
        <f t="shared" si="1"/>
        <v>38</v>
      </c>
      <c r="U53" s="6">
        <v>13</v>
      </c>
      <c r="V53" s="6">
        <v>25</v>
      </c>
      <c r="W53" s="6">
        <v>39</v>
      </c>
    </row>
    <row r="54" spans="1:23">
      <c r="A54" s="5" t="s">
        <v>194</v>
      </c>
      <c r="B54" s="5" t="s">
        <v>220</v>
      </c>
      <c r="C54" s="5" t="s">
        <v>26</v>
      </c>
      <c r="D54" s="5" t="s">
        <v>221</v>
      </c>
      <c r="E54" s="5" t="s">
        <v>222</v>
      </c>
      <c r="F54" s="5" t="s">
        <v>73</v>
      </c>
      <c r="G54" s="6">
        <v>1094</v>
      </c>
      <c r="H54" s="5" t="s">
        <v>223</v>
      </c>
      <c r="I54" s="5" t="s">
        <v>224</v>
      </c>
      <c r="J54" s="6">
        <v>921</v>
      </c>
      <c r="K54" s="5" t="s">
        <v>32</v>
      </c>
      <c r="L54" s="6">
        <v>921</v>
      </c>
      <c r="M54" s="5"/>
      <c r="N54" s="5"/>
      <c r="O54" s="5"/>
      <c r="P54" s="5"/>
      <c r="Q54" s="5"/>
      <c r="R54" s="5"/>
      <c r="S54" s="5"/>
      <c r="T54" s="5"/>
      <c r="U54" s="5" t="s">
        <v>32</v>
      </c>
      <c r="V54" s="5" t="s">
        <v>32</v>
      </c>
      <c r="W54" s="5" t="s">
        <v>32</v>
      </c>
    </row>
    <row r="55" spans="1:23">
      <c r="A55" s="5" t="s">
        <v>194</v>
      </c>
      <c r="B55" s="5" t="s">
        <v>220</v>
      </c>
      <c r="C55" s="5" t="s">
        <v>26</v>
      </c>
      <c r="D55" s="5" t="s">
        <v>221</v>
      </c>
      <c r="E55" s="5" t="s">
        <v>222</v>
      </c>
      <c r="F55" s="5" t="s">
        <v>29</v>
      </c>
      <c r="G55" s="6">
        <v>1094</v>
      </c>
      <c r="H55" s="5" t="s">
        <v>225</v>
      </c>
      <c r="I55" s="5" t="s">
        <v>224</v>
      </c>
      <c r="J55" s="6">
        <v>1053</v>
      </c>
      <c r="K55" s="6">
        <v>0</v>
      </c>
      <c r="L55" s="5" t="s">
        <v>32</v>
      </c>
      <c r="M55" s="5">
        <f t="shared" si="0"/>
        <v>878</v>
      </c>
      <c r="N55" s="6">
        <v>109</v>
      </c>
      <c r="O55" s="6">
        <v>328</v>
      </c>
      <c r="P55" s="6">
        <v>272</v>
      </c>
      <c r="Q55" s="6">
        <v>54</v>
      </c>
      <c r="R55" s="5" t="s">
        <v>32</v>
      </c>
      <c r="S55" s="5" t="s">
        <v>32</v>
      </c>
      <c r="T55" s="5">
        <f t="shared" si="1"/>
        <v>115</v>
      </c>
      <c r="U55" s="6">
        <v>54</v>
      </c>
      <c r="V55" s="6">
        <v>61</v>
      </c>
      <c r="W55" s="6">
        <v>175</v>
      </c>
    </row>
    <row r="56" spans="1:23">
      <c r="A56" s="5" t="s">
        <v>194</v>
      </c>
      <c r="B56" s="5" t="s">
        <v>159</v>
      </c>
      <c r="C56" s="5" t="s">
        <v>226</v>
      </c>
      <c r="D56" s="5" t="s">
        <v>35</v>
      </c>
      <c r="E56" s="5" t="s">
        <v>227</v>
      </c>
      <c r="F56" s="5" t="s">
        <v>29</v>
      </c>
      <c r="G56" s="6">
        <v>1012</v>
      </c>
      <c r="H56" s="5" t="s">
        <v>228</v>
      </c>
      <c r="I56" s="5" t="s">
        <v>229</v>
      </c>
      <c r="J56" s="6">
        <v>1012</v>
      </c>
      <c r="K56" s="6">
        <v>835</v>
      </c>
      <c r="L56" s="5" t="s">
        <v>32</v>
      </c>
      <c r="M56" s="5">
        <f t="shared" si="0"/>
        <v>153</v>
      </c>
      <c r="N56" s="6">
        <v>17</v>
      </c>
      <c r="O56" s="6">
        <v>53</v>
      </c>
      <c r="P56" s="6">
        <v>44</v>
      </c>
      <c r="Q56" s="6">
        <v>8</v>
      </c>
      <c r="R56" s="5" t="s">
        <v>32</v>
      </c>
      <c r="S56" s="5" t="s">
        <v>32</v>
      </c>
      <c r="T56" s="5">
        <f t="shared" si="1"/>
        <v>31</v>
      </c>
      <c r="U56" s="6">
        <v>8</v>
      </c>
      <c r="V56" s="6">
        <v>23</v>
      </c>
      <c r="W56" s="6">
        <v>24</v>
      </c>
    </row>
    <row r="57" spans="1:23">
      <c r="A57" s="5" t="s">
        <v>194</v>
      </c>
      <c r="B57" s="5" t="s">
        <v>230</v>
      </c>
      <c r="C57" s="5" t="s">
        <v>231</v>
      </c>
      <c r="D57" s="5" t="s">
        <v>35</v>
      </c>
      <c r="E57" s="5" t="s">
        <v>232</v>
      </c>
      <c r="F57" s="5" t="s">
        <v>29</v>
      </c>
      <c r="G57" s="6">
        <v>1409</v>
      </c>
      <c r="H57" s="5" t="s">
        <v>233</v>
      </c>
      <c r="I57" s="5" t="s">
        <v>97</v>
      </c>
      <c r="J57" s="6">
        <v>1409</v>
      </c>
      <c r="K57" s="6">
        <v>0</v>
      </c>
      <c r="L57" s="5" t="s">
        <v>32</v>
      </c>
      <c r="M57" s="5">
        <f t="shared" si="0"/>
        <v>1195</v>
      </c>
      <c r="N57" s="6">
        <v>140</v>
      </c>
      <c r="O57" s="6">
        <v>422</v>
      </c>
      <c r="P57" s="6">
        <v>352</v>
      </c>
      <c r="Q57" s="6">
        <v>70</v>
      </c>
      <c r="R57" s="5" t="s">
        <v>32</v>
      </c>
      <c r="S57" s="5" t="s">
        <v>32</v>
      </c>
      <c r="T57" s="5">
        <f t="shared" si="1"/>
        <v>211</v>
      </c>
      <c r="U57" s="6">
        <v>70</v>
      </c>
      <c r="V57" s="6">
        <v>141</v>
      </c>
      <c r="W57" s="6">
        <v>214</v>
      </c>
    </row>
    <row r="58" spans="1:23">
      <c r="A58" s="5" t="s">
        <v>194</v>
      </c>
      <c r="B58" s="5" t="s">
        <v>181</v>
      </c>
      <c r="C58" s="5" t="s">
        <v>234</v>
      </c>
      <c r="D58" s="5" t="s">
        <v>27</v>
      </c>
      <c r="E58" s="5" t="s">
        <v>235</v>
      </c>
      <c r="F58" s="5" t="s">
        <v>29</v>
      </c>
      <c r="G58" s="6">
        <v>447</v>
      </c>
      <c r="H58" s="5" t="s">
        <v>236</v>
      </c>
      <c r="I58" s="5" t="s">
        <v>169</v>
      </c>
      <c r="J58" s="6">
        <v>447</v>
      </c>
      <c r="K58" s="6">
        <v>0</v>
      </c>
      <c r="L58" s="5" t="s">
        <v>32</v>
      </c>
      <c r="M58" s="5">
        <f t="shared" si="0"/>
        <v>377</v>
      </c>
      <c r="N58" s="6">
        <v>44</v>
      </c>
      <c r="O58" s="6">
        <v>134</v>
      </c>
      <c r="P58" s="6">
        <v>111</v>
      </c>
      <c r="Q58" s="6">
        <v>22</v>
      </c>
      <c r="R58" s="5" t="s">
        <v>32</v>
      </c>
      <c r="S58" s="5" t="s">
        <v>32</v>
      </c>
      <c r="T58" s="5">
        <f t="shared" si="1"/>
        <v>66</v>
      </c>
      <c r="U58" s="6">
        <v>22</v>
      </c>
      <c r="V58" s="6">
        <v>44</v>
      </c>
      <c r="W58" s="6">
        <v>70</v>
      </c>
    </row>
    <row r="59" spans="1:23">
      <c r="A59" s="5" t="s">
        <v>194</v>
      </c>
      <c r="B59" s="5" t="s">
        <v>39</v>
      </c>
      <c r="C59" s="5" t="s">
        <v>237</v>
      </c>
      <c r="D59" s="5" t="s">
        <v>35</v>
      </c>
      <c r="E59" s="5" t="s">
        <v>238</v>
      </c>
      <c r="F59" s="5" t="s">
        <v>57</v>
      </c>
      <c r="G59" s="6">
        <v>778</v>
      </c>
      <c r="H59" s="5" t="s">
        <v>239</v>
      </c>
      <c r="I59" s="5" t="s">
        <v>193</v>
      </c>
      <c r="J59" s="6">
        <v>778</v>
      </c>
      <c r="K59" s="6">
        <v>0</v>
      </c>
      <c r="L59" s="5" t="s">
        <v>32</v>
      </c>
      <c r="M59" s="5">
        <f t="shared" si="0"/>
        <v>778</v>
      </c>
      <c r="N59" s="6">
        <v>0</v>
      </c>
      <c r="O59" s="6">
        <v>778</v>
      </c>
      <c r="P59" s="6">
        <v>0</v>
      </c>
      <c r="Q59" s="6">
        <v>0</v>
      </c>
      <c r="R59" s="5" t="s">
        <v>32</v>
      </c>
      <c r="S59" s="5" t="s">
        <v>32</v>
      </c>
      <c r="T59" s="5">
        <f t="shared" si="1"/>
        <v>0</v>
      </c>
      <c r="U59" s="6">
        <v>0</v>
      </c>
      <c r="V59" s="6">
        <v>0</v>
      </c>
      <c r="W59" s="6">
        <v>0</v>
      </c>
    </row>
    <row r="60" spans="1:23">
      <c r="A60" s="5" t="s">
        <v>194</v>
      </c>
      <c r="B60" s="5" t="s">
        <v>240</v>
      </c>
      <c r="C60" s="5" t="s">
        <v>77</v>
      </c>
      <c r="D60" s="5" t="s">
        <v>241</v>
      </c>
      <c r="E60" s="5" t="s">
        <v>242</v>
      </c>
      <c r="F60" s="5" t="s">
        <v>57</v>
      </c>
      <c r="G60" s="6">
        <v>835</v>
      </c>
      <c r="H60" s="5" t="s">
        <v>243</v>
      </c>
      <c r="I60" s="5" t="s">
        <v>244</v>
      </c>
      <c r="J60" s="6">
        <v>834</v>
      </c>
      <c r="K60" s="6">
        <v>0</v>
      </c>
      <c r="L60" s="5" t="s">
        <v>32</v>
      </c>
      <c r="M60" s="5">
        <f t="shared" si="0"/>
        <v>834</v>
      </c>
      <c r="N60" s="6">
        <v>0</v>
      </c>
      <c r="O60" s="6">
        <v>834</v>
      </c>
      <c r="P60" s="6">
        <v>0</v>
      </c>
      <c r="Q60" s="6">
        <v>0</v>
      </c>
      <c r="R60" s="5" t="s">
        <v>32</v>
      </c>
      <c r="S60" s="5" t="s">
        <v>32</v>
      </c>
      <c r="T60" s="5">
        <f t="shared" si="1"/>
        <v>0</v>
      </c>
      <c r="U60" s="6">
        <v>0</v>
      </c>
      <c r="V60" s="6">
        <v>0</v>
      </c>
      <c r="W60" s="6">
        <v>0</v>
      </c>
    </row>
    <row r="61" spans="1:23">
      <c r="A61" s="5" t="s">
        <v>194</v>
      </c>
      <c r="B61" s="5" t="s">
        <v>170</v>
      </c>
      <c r="C61" s="5" t="s">
        <v>245</v>
      </c>
      <c r="D61" s="5" t="s">
        <v>27</v>
      </c>
      <c r="E61" s="5" t="s">
        <v>246</v>
      </c>
      <c r="F61" s="5" t="s">
        <v>29</v>
      </c>
      <c r="G61" s="6">
        <v>1224</v>
      </c>
      <c r="H61" s="5" t="s">
        <v>247</v>
      </c>
      <c r="I61" s="5" t="s">
        <v>413</v>
      </c>
      <c r="J61" s="6">
        <v>1224</v>
      </c>
      <c r="K61" s="6">
        <v>811</v>
      </c>
      <c r="L61" s="5" t="s">
        <v>32</v>
      </c>
      <c r="M61" s="5">
        <f t="shared" si="0"/>
        <v>351</v>
      </c>
      <c r="N61" s="6">
        <v>42</v>
      </c>
      <c r="O61" s="6">
        <v>124</v>
      </c>
      <c r="P61" s="6">
        <v>104</v>
      </c>
      <c r="Q61" s="6">
        <v>20</v>
      </c>
      <c r="R61" s="5" t="s">
        <v>32</v>
      </c>
      <c r="S61" s="5" t="s">
        <v>32</v>
      </c>
      <c r="T61" s="5">
        <f t="shared" si="1"/>
        <v>61</v>
      </c>
      <c r="U61" s="6">
        <v>20</v>
      </c>
      <c r="V61" s="6">
        <v>41</v>
      </c>
      <c r="W61" s="6">
        <v>62</v>
      </c>
    </row>
    <row r="62" spans="1:23">
      <c r="A62" s="5" t="s">
        <v>194</v>
      </c>
      <c r="B62" s="5" t="s">
        <v>248</v>
      </c>
      <c r="C62" s="5" t="s">
        <v>249</v>
      </c>
      <c r="D62" s="5" t="s">
        <v>35</v>
      </c>
      <c r="E62" s="5" t="s">
        <v>250</v>
      </c>
      <c r="F62" s="5" t="s">
        <v>29</v>
      </c>
      <c r="G62" s="6">
        <v>659</v>
      </c>
      <c r="H62" s="5" t="s">
        <v>251</v>
      </c>
      <c r="I62" s="5" t="s">
        <v>244</v>
      </c>
      <c r="J62" s="6">
        <v>659</v>
      </c>
      <c r="K62" s="6">
        <v>0</v>
      </c>
      <c r="L62" s="5" t="s">
        <v>32</v>
      </c>
      <c r="M62" s="5">
        <f t="shared" si="0"/>
        <v>555</v>
      </c>
      <c r="N62" s="6">
        <v>65</v>
      </c>
      <c r="O62" s="6">
        <v>197</v>
      </c>
      <c r="P62" s="6">
        <v>164</v>
      </c>
      <c r="Q62" s="6">
        <v>32</v>
      </c>
      <c r="R62" s="5" t="s">
        <v>32</v>
      </c>
      <c r="S62" s="5" t="s">
        <v>32</v>
      </c>
      <c r="T62" s="5">
        <f t="shared" si="1"/>
        <v>97</v>
      </c>
      <c r="U62" s="6">
        <v>32</v>
      </c>
      <c r="V62" s="6">
        <v>65</v>
      </c>
      <c r="W62" s="6">
        <v>104</v>
      </c>
    </row>
    <row r="63" spans="1:23">
      <c r="A63" s="5" t="s">
        <v>194</v>
      </c>
      <c r="B63" s="5" t="s">
        <v>252</v>
      </c>
      <c r="C63" s="5" t="s">
        <v>253</v>
      </c>
      <c r="D63" s="5" t="s">
        <v>27</v>
      </c>
      <c r="E63" s="5" t="s">
        <v>254</v>
      </c>
      <c r="F63" s="5" t="s">
        <v>29</v>
      </c>
      <c r="G63" s="6">
        <v>514</v>
      </c>
      <c r="H63" s="5" t="s">
        <v>255</v>
      </c>
      <c r="I63" s="5" t="s">
        <v>201</v>
      </c>
      <c r="J63" s="6">
        <v>514</v>
      </c>
      <c r="K63" s="6">
        <v>0</v>
      </c>
      <c r="L63" s="5" t="s">
        <v>32</v>
      </c>
      <c r="M63" s="5">
        <f t="shared" si="0"/>
        <v>435</v>
      </c>
      <c r="N63" s="6">
        <v>51</v>
      </c>
      <c r="O63" s="6">
        <v>153</v>
      </c>
      <c r="P63" s="6">
        <v>128</v>
      </c>
      <c r="Q63" s="6">
        <v>26</v>
      </c>
      <c r="R63" s="5" t="s">
        <v>32</v>
      </c>
      <c r="S63" s="5" t="s">
        <v>32</v>
      </c>
      <c r="T63" s="5">
        <f t="shared" si="1"/>
        <v>77</v>
      </c>
      <c r="U63" s="6">
        <v>26</v>
      </c>
      <c r="V63" s="6">
        <v>51</v>
      </c>
      <c r="W63" s="6">
        <v>79</v>
      </c>
    </row>
    <row r="64" spans="1:23">
      <c r="A64" s="5" t="s">
        <v>194</v>
      </c>
      <c r="B64" s="5" t="s">
        <v>181</v>
      </c>
      <c r="C64" s="5" t="s">
        <v>256</v>
      </c>
      <c r="D64" s="5" t="s">
        <v>27</v>
      </c>
      <c r="E64" s="5" t="s">
        <v>257</v>
      </c>
      <c r="F64" s="5" t="s">
        <v>29</v>
      </c>
      <c r="G64" s="6">
        <v>675</v>
      </c>
      <c r="H64" s="5" t="s">
        <v>258</v>
      </c>
      <c r="I64" s="5" t="s">
        <v>201</v>
      </c>
      <c r="J64" s="6">
        <v>675</v>
      </c>
      <c r="K64" s="6">
        <v>0</v>
      </c>
      <c r="L64" s="5" t="s">
        <v>32</v>
      </c>
      <c r="M64" s="5">
        <f t="shared" si="0"/>
        <v>573</v>
      </c>
      <c r="N64" s="6">
        <v>66</v>
      </c>
      <c r="O64" s="6">
        <v>203</v>
      </c>
      <c r="P64" s="6">
        <v>169</v>
      </c>
      <c r="Q64" s="6">
        <v>33</v>
      </c>
      <c r="R64" s="5" t="s">
        <v>32</v>
      </c>
      <c r="S64" s="5" t="s">
        <v>32</v>
      </c>
      <c r="T64" s="5">
        <f t="shared" si="1"/>
        <v>102</v>
      </c>
      <c r="U64" s="6">
        <v>33</v>
      </c>
      <c r="V64" s="6">
        <v>69</v>
      </c>
      <c r="W64" s="6">
        <v>102</v>
      </c>
    </row>
    <row r="65" spans="1:23">
      <c r="A65" s="5" t="s">
        <v>194</v>
      </c>
      <c r="B65" s="5" t="s">
        <v>259</v>
      </c>
      <c r="C65" s="5" t="s">
        <v>260</v>
      </c>
      <c r="D65" s="5" t="s">
        <v>35</v>
      </c>
      <c r="E65" s="5" t="s">
        <v>261</v>
      </c>
      <c r="F65" s="5" t="s">
        <v>57</v>
      </c>
      <c r="G65" s="6">
        <v>749</v>
      </c>
      <c r="H65" s="5" t="s">
        <v>262</v>
      </c>
      <c r="I65" s="5" t="s">
        <v>119</v>
      </c>
      <c r="J65" s="6">
        <v>749</v>
      </c>
      <c r="K65" s="6">
        <v>0</v>
      </c>
      <c r="L65" s="5" t="s">
        <v>32</v>
      </c>
      <c r="M65" s="5">
        <f t="shared" si="0"/>
        <v>749</v>
      </c>
      <c r="N65" s="6">
        <v>0</v>
      </c>
      <c r="O65" s="6">
        <v>749</v>
      </c>
      <c r="P65" s="6">
        <v>0</v>
      </c>
      <c r="Q65" s="6">
        <v>0</v>
      </c>
      <c r="R65" s="5" t="s">
        <v>32</v>
      </c>
      <c r="S65" s="5" t="s">
        <v>32</v>
      </c>
      <c r="T65" s="5">
        <f t="shared" si="1"/>
        <v>0</v>
      </c>
      <c r="U65" s="6">
        <v>0</v>
      </c>
      <c r="V65" s="6">
        <v>0</v>
      </c>
      <c r="W65" s="6">
        <v>0</v>
      </c>
    </row>
    <row r="66" spans="1:23">
      <c r="A66" s="5" t="s">
        <v>194</v>
      </c>
      <c r="B66" s="5" t="s">
        <v>263</v>
      </c>
      <c r="C66" s="5" t="s">
        <v>50</v>
      </c>
      <c r="D66" s="5" t="s">
        <v>35</v>
      </c>
      <c r="E66" s="5" t="s">
        <v>264</v>
      </c>
      <c r="F66" s="5" t="s">
        <v>29</v>
      </c>
      <c r="G66" s="6">
        <v>615</v>
      </c>
      <c r="H66" s="5" t="s">
        <v>265</v>
      </c>
      <c r="I66" s="5" t="s">
        <v>266</v>
      </c>
      <c r="J66" s="6">
        <v>615</v>
      </c>
      <c r="K66" s="6">
        <v>482</v>
      </c>
      <c r="L66" s="5" t="s">
        <v>32</v>
      </c>
      <c r="M66" s="5">
        <f t="shared" si="0"/>
        <v>119</v>
      </c>
      <c r="N66" s="6">
        <v>8</v>
      </c>
      <c r="O66" s="6">
        <v>26</v>
      </c>
      <c r="P66" s="6">
        <v>22</v>
      </c>
      <c r="Q66" s="6">
        <v>5</v>
      </c>
      <c r="R66" s="5" t="s">
        <v>32</v>
      </c>
      <c r="S66" s="5" t="s">
        <v>32</v>
      </c>
      <c r="T66" s="5">
        <f t="shared" si="1"/>
        <v>58</v>
      </c>
      <c r="U66" s="6">
        <v>5</v>
      </c>
      <c r="V66" s="6">
        <v>53</v>
      </c>
      <c r="W66" s="6">
        <v>14</v>
      </c>
    </row>
    <row r="67" spans="1:23">
      <c r="A67" s="5" t="s">
        <v>194</v>
      </c>
      <c r="B67" s="5" t="s">
        <v>263</v>
      </c>
      <c r="C67" s="5" t="s">
        <v>139</v>
      </c>
      <c r="D67" s="5" t="s">
        <v>35</v>
      </c>
      <c r="E67" s="5" t="s">
        <v>267</v>
      </c>
      <c r="F67" s="5" t="s">
        <v>57</v>
      </c>
      <c r="G67" s="6">
        <v>258</v>
      </c>
      <c r="H67" s="5" t="s">
        <v>265</v>
      </c>
      <c r="I67" s="5" t="s">
        <v>266</v>
      </c>
      <c r="J67" s="6">
        <v>258</v>
      </c>
      <c r="K67" s="6">
        <v>193</v>
      </c>
      <c r="L67" s="5" t="s">
        <v>32</v>
      </c>
      <c r="M67" s="5">
        <f t="shared" si="0"/>
        <v>65</v>
      </c>
      <c r="N67" s="6">
        <v>0</v>
      </c>
      <c r="O67" s="6">
        <v>65</v>
      </c>
      <c r="P67" s="6">
        <v>0</v>
      </c>
      <c r="Q67" s="6">
        <v>0</v>
      </c>
      <c r="R67" s="5" t="s">
        <v>32</v>
      </c>
      <c r="S67" s="5" t="s">
        <v>32</v>
      </c>
      <c r="T67" s="5">
        <f t="shared" si="1"/>
        <v>0</v>
      </c>
      <c r="U67" s="6">
        <v>0</v>
      </c>
      <c r="V67" s="6">
        <v>0</v>
      </c>
      <c r="W67" s="6">
        <v>0</v>
      </c>
    </row>
    <row r="68" spans="1:23">
      <c r="A68" s="5" t="s">
        <v>194</v>
      </c>
      <c r="B68" s="5" t="s">
        <v>263</v>
      </c>
      <c r="C68" s="5" t="s">
        <v>125</v>
      </c>
      <c r="D68" s="5" t="s">
        <v>35</v>
      </c>
      <c r="E68" s="5" t="s">
        <v>268</v>
      </c>
      <c r="F68" s="5" t="s">
        <v>57</v>
      </c>
      <c r="G68" s="6">
        <v>210</v>
      </c>
      <c r="H68" s="5" t="s">
        <v>265</v>
      </c>
      <c r="I68" s="5" t="s">
        <v>266</v>
      </c>
      <c r="J68" s="6">
        <v>210</v>
      </c>
      <c r="K68" s="6">
        <v>168</v>
      </c>
      <c r="L68" s="5" t="s">
        <v>32</v>
      </c>
      <c r="M68" s="5">
        <f t="shared" si="0"/>
        <v>42</v>
      </c>
      <c r="N68" s="6">
        <v>0</v>
      </c>
      <c r="O68" s="6">
        <v>42</v>
      </c>
      <c r="P68" s="6">
        <v>0</v>
      </c>
      <c r="Q68" s="6">
        <v>0</v>
      </c>
      <c r="R68" s="5" t="s">
        <v>32</v>
      </c>
      <c r="S68" s="5" t="s">
        <v>32</v>
      </c>
      <c r="T68" s="5">
        <f t="shared" si="1"/>
        <v>0</v>
      </c>
      <c r="U68" s="6">
        <v>0</v>
      </c>
      <c r="V68" s="6">
        <v>0</v>
      </c>
      <c r="W68" s="6">
        <v>0</v>
      </c>
    </row>
    <row r="69" spans="1:23">
      <c r="A69" s="5" t="s">
        <v>194</v>
      </c>
      <c r="B69" s="5" t="s">
        <v>269</v>
      </c>
      <c r="C69" s="5" t="s">
        <v>270</v>
      </c>
      <c r="D69" s="5" t="s">
        <v>35</v>
      </c>
      <c r="E69" s="5" t="s">
        <v>271</v>
      </c>
      <c r="F69" s="5" t="s">
        <v>57</v>
      </c>
      <c r="G69" s="6">
        <v>394</v>
      </c>
      <c r="H69" s="5" t="s">
        <v>272</v>
      </c>
      <c r="I69" s="5" t="s">
        <v>266</v>
      </c>
      <c r="J69" s="6">
        <v>394</v>
      </c>
      <c r="K69" s="6">
        <v>263</v>
      </c>
      <c r="L69" s="5" t="s">
        <v>32</v>
      </c>
      <c r="M69" s="5">
        <f t="shared" si="0"/>
        <v>131</v>
      </c>
      <c r="N69" s="6">
        <v>0</v>
      </c>
      <c r="O69" s="6">
        <v>131</v>
      </c>
      <c r="P69" s="6">
        <v>0</v>
      </c>
      <c r="Q69" s="6">
        <v>0</v>
      </c>
      <c r="R69" s="5" t="s">
        <v>32</v>
      </c>
      <c r="S69" s="5" t="s">
        <v>32</v>
      </c>
      <c r="T69" s="5">
        <f t="shared" si="1"/>
        <v>0</v>
      </c>
      <c r="U69" s="6">
        <v>0</v>
      </c>
      <c r="V69" s="6">
        <v>0</v>
      </c>
      <c r="W69" s="6">
        <v>0</v>
      </c>
    </row>
    <row r="70" spans="1:23">
      <c r="A70" s="5" t="s">
        <v>273</v>
      </c>
      <c r="B70" s="5" t="s">
        <v>274</v>
      </c>
      <c r="C70" s="5" t="s">
        <v>275</v>
      </c>
      <c r="D70" s="5" t="s">
        <v>35</v>
      </c>
      <c r="E70" s="5" t="s">
        <v>276</v>
      </c>
      <c r="F70" s="5" t="s">
        <v>29</v>
      </c>
      <c r="G70" s="6">
        <v>688</v>
      </c>
      <c r="H70" s="5" t="s">
        <v>277</v>
      </c>
      <c r="I70" s="5" t="s">
        <v>229</v>
      </c>
      <c r="J70" s="6">
        <v>688</v>
      </c>
      <c r="K70" s="6">
        <v>448</v>
      </c>
      <c r="L70" s="5" t="s">
        <v>32</v>
      </c>
      <c r="M70" s="5">
        <f t="shared" ref="M70:M73" si="2">SUM(N70:S70)+SUM(U70:V70)</f>
        <v>168</v>
      </c>
      <c r="N70" s="6">
        <v>24</v>
      </c>
      <c r="O70" s="6">
        <v>48</v>
      </c>
      <c r="P70" s="6">
        <v>48</v>
      </c>
      <c r="Q70" s="6">
        <v>12</v>
      </c>
      <c r="R70" s="5" t="s">
        <v>32</v>
      </c>
      <c r="S70" s="5" t="s">
        <v>32</v>
      </c>
      <c r="T70" s="5">
        <f t="shared" ref="T70:T73" si="3">SUM(U70:V70)</f>
        <v>36</v>
      </c>
      <c r="U70" s="6">
        <v>12</v>
      </c>
      <c r="V70" s="6">
        <v>24</v>
      </c>
      <c r="W70" s="6">
        <v>72</v>
      </c>
    </row>
    <row r="71" spans="1:23">
      <c r="A71" s="5" t="s">
        <v>273</v>
      </c>
      <c r="B71" s="5" t="s">
        <v>278</v>
      </c>
      <c r="C71" s="5" t="s">
        <v>26</v>
      </c>
      <c r="D71" s="5" t="s">
        <v>166</v>
      </c>
      <c r="E71" s="5" t="s">
        <v>279</v>
      </c>
      <c r="F71" s="5" t="s">
        <v>57</v>
      </c>
      <c r="G71" s="6">
        <v>222</v>
      </c>
      <c r="H71" s="5" t="s">
        <v>280</v>
      </c>
      <c r="I71" s="5" t="s">
        <v>281</v>
      </c>
      <c r="J71" s="6">
        <v>122</v>
      </c>
      <c r="K71" s="6">
        <v>72</v>
      </c>
      <c r="L71" s="5" t="s">
        <v>32</v>
      </c>
      <c r="M71" s="5">
        <f t="shared" si="2"/>
        <v>50</v>
      </c>
      <c r="N71" s="6">
        <v>0</v>
      </c>
      <c r="O71" s="6">
        <v>50</v>
      </c>
      <c r="P71" s="6">
        <v>0</v>
      </c>
      <c r="Q71" s="6">
        <v>0</v>
      </c>
      <c r="R71" s="5" t="s">
        <v>32</v>
      </c>
      <c r="S71" s="5" t="s">
        <v>32</v>
      </c>
      <c r="T71" s="5">
        <f t="shared" si="3"/>
        <v>0</v>
      </c>
      <c r="U71" s="6">
        <v>0</v>
      </c>
      <c r="V71" s="6">
        <v>0</v>
      </c>
      <c r="W71" s="6">
        <v>0</v>
      </c>
    </row>
    <row r="72" spans="1:23">
      <c r="A72" s="5" t="s">
        <v>273</v>
      </c>
      <c r="B72" s="5" t="s">
        <v>98</v>
      </c>
      <c r="C72" s="5" t="s">
        <v>55</v>
      </c>
      <c r="D72" s="5" t="s">
        <v>35</v>
      </c>
      <c r="E72" s="5" t="s">
        <v>282</v>
      </c>
      <c r="F72" s="5" t="s">
        <v>57</v>
      </c>
      <c r="G72" s="6">
        <v>371</v>
      </c>
      <c r="H72" s="5" t="s">
        <v>283</v>
      </c>
      <c r="I72" s="5" t="s">
        <v>284</v>
      </c>
      <c r="J72" s="6">
        <v>371</v>
      </c>
      <c r="K72" s="6">
        <v>0</v>
      </c>
      <c r="L72" s="5" t="s">
        <v>32</v>
      </c>
      <c r="M72" s="5">
        <f t="shared" si="2"/>
        <v>371</v>
      </c>
      <c r="N72" s="6">
        <v>0</v>
      </c>
      <c r="O72" s="6">
        <v>371</v>
      </c>
      <c r="P72" s="6">
        <v>0</v>
      </c>
      <c r="Q72" s="6">
        <v>0</v>
      </c>
      <c r="R72" s="5" t="s">
        <v>32</v>
      </c>
      <c r="S72" s="5" t="s">
        <v>32</v>
      </c>
      <c r="T72" s="5">
        <f t="shared" si="3"/>
        <v>0</v>
      </c>
      <c r="U72" s="6">
        <v>0</v>
      </c>
      <c r="V72" s="6">
        <v>0</v>
      </c>
      <c r="W72" s="6">
        <v>0</v>
      </c>
    </row>
    <row r="73" spans="1:23">
      <c r="A73" s="5" t="s">
        <v>273</v>
      </c>
      <c r="B73" s="5" t="s">
        <v>159</v>
      </c>
      <c r="C73" s="5" t="s">
        <v>285</v>
      </c>
      <c r="D73" s="5" t="s">
        <v>35</v>
      </c>
      <c r="E73" s="5" t="s">
        <v>286</v>
      </c>
      <c r="F73" s="5" t="s">
        <v>29</v>
      </c>
      <c r="G73" s="6">
        <v>642</v>
      </c>
      <c r="H73" s="5" t="s">
        <v>287</v>
      </c>
      <c r="I73" s="5" t="s">
        <v>288</v>
      </c>
      <c r="J73" s="6">
        <v>642</v>
      </c>
      <c r="K73" s="6">
        <v>518</v>
      </c>
      <c r="L73" s="5" t="s">
        <v>32</v>
      </c>
      <c r="M73" s="5">
        <f t="shared" si="2"/>
        <v>94</v>
      </c>
      <c r="N73" s="6">
        <v>12</v>
      </c>
      <c r="O73" s="6">
        <v>25</v>
      </c>
      <c r="P73" s="6">
        <v>25</v>
      </c>
      <c r="Q73" s="6">
        <v>6</v>
      </c>
      <c r="R73" s="5" t="s">
        <v>32</v>
      </c>
      <c r="S73" s="5" t="s">
        <v>32</v>
      </c>
      <c r="T73" s="5">
        <f t="shared" si="3"/>
        <v>26</v>
      </c>
      <c r="U73" s="6">
        <v>6</v>
      </c>
      <c r="V73" s="6">
        <v>20</v>
      </c>
      <c r="W73" s="6">
        <v>30</v>
      </c>
    </row>
    <row r="74" spans="1:23">
      <c r="A74" s="5" t="s">
        <v>273</v>
      </c>
      <c r="B74" s="5" t="s">
        <v>289</v>
      </c>
      <c r="C74" s="5" t="s">
        <v>26</v>
      </c>
      <c r="D74" s="5" t="s">
        <v>35</v>
      </c>
      <c r="E74" s="5" t="s">
        <v>290</v>
      </c>
      <c r="F74" s="5" t="s">
        <v>57</v>
      </c>
      <c r="G74" s="6">
        <v>1090</v>
      </c>
      <c r="H74" s="5" t="s">
        <v>291</v>
      </c>
      <c r="I74" s="5" t="s">
        <v>292</v>
      </c>
      <c r="J74" s="6">
        <v>440</v>
      </c>
      <c r="K74" s="6">
        <v>353</v>
      </c>
      <c r="L74" s="5" t="s">
        <v>32</v>
      </c>
      <c r="M74" s="5">
        <f>SUM(N74:S74)+SUM(U74:V74)</f>
        <v>87</v>
      </c>
      <c r="N74" s="6">
        <v>0</v>
      </c>
      <c r="O74" s="6">
        <v>87</v>
      </c>
      <c r="P74" s="6">
        <v>0</v>
      </c>
      <c r="Q74" s="6">
        <v>0</v>
      </c>
      <c r="R74" s="5" t="s">
        <v>32</v>
      </c>
      <c r="S74" s="5" t="s">
        <v>32</v>
      </c>
      <c r="T74" s="5">
        <f>SUM(U74:V74)</f>
        <v>0</v>
      </c>
      <c r="U74" s="6">
        <v>0</v>
      </c>
      <c r="V74" s="6">
        <v>0</v>
      </c>
      <c r="W74" s="6">
        <v>0</v>
      </c>
    </row>
    <row r="75" spans="1:23">
      <c r="A75" s="5" t="s">
        <v>273</v>
      </c>
      <c r="B75" s="5" t="s">
        <v>293</v>
      </c>
      <c r="C75" s="5" t="s">
        <v>26</v>
      </c>
      <c r="D75" s="5" t="s">
        <v>166</v>
      </c>
      <c r="E75" s="5" t="s">
        <v>294</v>
      </c>
      <c r="F75" s="5" t="s">
        <v>57</v>
      </c>
      <c r="G75" s="6">
        <v>234</v>
      </c>
      <c r="H75" s="5" t="s">
        <v>295</v>
      </c>
      <c r="I75" s="5" t="s">
        <v>296</v>
      </c>
      <c r="J75" s="6">
        <v>139</v>
      </c>
      <c r="K75" s="6">
        <v>0</v>
      </c>
      <c r="L75" s="5" t="s">
        <v>32</v>
      </c>
      <c r="M75" s="5">
        <f t="shared" ref="M75:M111" si="4">SUM(N75:S75)+SUM(U75:V75)</f>
        <v>139</v>
      </c>
      <c r="N75" s="6">
        <v>0</v>
      </c>
      <c r="O75" s="6">
        <v>139</v>
      </c>
      <c r="P75" s="6">
        <v>0</v>
      </c>
      <c r="Q75" s="6">
        <v>0</v>
      </c>
      <c r="R75" s="5" t="s">
        <v>32</v>
      </c>
      <c r="S75" s="5" t="s">
        <v>32</v>
      </c>
      <c r="T75" s="5">
        <f t="shared" ref="T75:T111" si="5">SUM(U75:V75)</f>
        <v>0</v>
      </c>
      <c r="U75" s="6">
        <v>0</v>
      </c>
      <c r="V75" s="6">
        <v>0</v>
      </c>
      <c r="W75" s="6">
        <v>0</v>
      </c>
    </row>
    <row r="76" spans="1:23">
      <c r="A76" s="5" t="s">
        <v>297</v>
      </c>
      <c r="B76" s="5" t="s">
        <v>298</v>
      </c>
      <c r="C76" s="5" t="s">
        <v>139</v>
      </c>
      <c r="D76" s="5" t="s">
        <v>27</v>
      </c>
      <c r="E76" s="5" t="s">
        <v>299</v>
      </c>
      <c r="F76" s="5" t="s">
        <v>57</v>
      </c>
      <c r="G76" s="6">
        <v>534</v>
      </c>
      <c r="H76" s="5" t="s">
        <v>300</v>
      </c>
      <c r="I76" s="5" t="s">
        <v>301</v>
      </c>
      <c r="J76" s="6">
        <v>534</v>
      </c>
      <c r="K76" s="6">
        <v>264</v>
      </c>
      <c r="L76" s="5" t="s">
        <v>32</v>
      </c>
      <c r="M76" s="5">
        <f t="shared" si="4"/>
        <v>270</v>
      </c>
      <c r="N76" s="6">
        <v>0</v>
      </c>
      <c r="O76" s="6">
        <v>270</v>
      </c>
      <c r="P76" s="6">
        <v>0</v>
      </c>
      <c r="Q76" s="6">
        <v>0</v>
      </c>
      <c r="R76" s="5" t="s">
        <v>32</v>
      </c>
      <c r="S76" s="5" t="s">
        <v>32</v>
      </c>
      <c r="T76" s="5">
        <f t="shared" si="5"/>
        <v>0</v>
      </c>
      <c r="U76" s="6">
        <v>0</v>
      </c>
      <c r="V76" s="6">
        <v>0</v>
      </c>
      <c r="W76" s="6">
        <v>0</v>
      </c>
    </row>
    <row r="77" spans="1:23">
      <c r="A77" s="5" t="s">
        <v>297</v>
      </c>
      <c r="B77" s="5" t="s">
        <v>302</v>
      </c>
      <c r="C77" s="5" t="s">
        <v>139</v>
      </c>
      <c r="D77" s="5" t="s">
        <v>35</v>
      </c>
      <c r="E77" s="5" t="s">
        <v>303</v>
      </c>
      <c r="F77" s="5" t="s">
        <v>29</v>
      </c>
      <c r="G77" s="6">
        <v>320</v>
      </c>
      <c r="H77" s="5" t="s">
        <v>304</v>
      </c>
      <c r="I77" s="5" t="s">
        <v>301</v>
      </c>
      <c r="J77" s="6">
        <v>320</v>
      </c>
      <c r="K77" s="6">
        <v>262</v>
      </c>
      <c r="L77" s="5" t="s">
        <v>32</v>
      </c>
      <c r="M77" s="5">
        <f t="shared" si="4"/>
        <v>43</v>
      </c>
      <c r="N77" s="6">
        <v>6</v>
      </c>
      <c r="O77" s="6">
        <v>6</v>
      </c>
      <c r="P77" s="6">
        <v>8</v>
      </c>
      <c r="Q77" s="6">
        <v>3</v>
      </c>
      <c r="R77" s="6">
        <v>11</v>
      </c>
      <c r="S77" s="6">
        <v>0</v>
      </c>
      <c r="T77" s="5">
        <f t="shared" si="5"/>
        <v>9</v>
      </c>
      <c r="U77" s="6">
        <v>3</v>
      </c>
      <c r="V77" s="6">
        <v>6</v>
      </c>
      <c r="W77" s="6">
        <v>15</v>
      </c>
    </row>
    <row r="78" spans="1:23">
      <c r="A78" s="5" t="s">
        <v>297</v>
      </c>
      <c r="B78" s="5" t="s">
        <v>305</v>
      </c>
      <c r="C78" s="5" t="s">
        <v>125</v>
      </c>
      <c r="D78" s="5" t="s">
        <v>27</v>
      </c>
      <c r="E78" s="5" t="s">
        <v>306</v>
      </c>
      <c r="F78" s="5" t="s">
        <v>57</v>
      </c>
      <c r="G78" s="6">
        <v>359</v>
      </c>
      <c r="H78" s="5" t="s">
        <v>307</v>
      </c>
      <c r="I78" s="5" t="s">
        <v>292</v>
      </c>
      <c r="J78" s="6">
        <v>359</v>
      </c>
      <c r="K78" s="6">
        <v>236</v>
      </c>
      <c r="L78" s="5" t="s">
        <v>32</v>
      </c>
      <c r="M78" s="5">
        <f t="shared" si="4"/>
        <v>123</v>
      </c>
      <c r="N78" s="6">
        <v>0</v>
      </c>
      <c r="O78" s="6">
        <v>123</v>
      </c>
      <c r="P78" s="6">
        <v>0</v>
      </c>
      <c r="Q78" s="6">
        <v>0</v>
      </c>
      <c r="R78" s="5" t="s">
        <v>32</v>
      </c>
      <c r="S78" s="5" t="s">
        <v>32</v>
      </c>
      <c r="T78" s="5">
        <f t="shared" si="5"/>
        <v>0</v>
      </c>
      <c r="U78" s="6">
        <v>0</v>
      </c>
      <c r="V78" s="6">
        <v>0</v>
      </c>
      <c r="W78" s="6">
        <v>0</v>
      </c>
    </row>
    <row r="79" spans="1:23">
      <c r="A79" s="5" t="s">
        <v>297</v>
      </c>
      <c r="B79" s="5" t="s">
        <v>305</v>
      </c>
      <c r="C79" s="5" t="s">
        <v>139</v>
      </c>
      <c r="D79" s="5" t="s">
        <v>27</v>
      </c>
      <c r="E79" s="5" t="s">
        <v>308</v>
      </c>
      <c r="F79" s="5" t="s">
        <v>29</v>
      </c>
      <c r="G79" s="6">
        <v>747</v>
      </c>
      <c r="H79" s="5" t="s">
        <v>309</v>
      </c>
      <c r="I79" s="5" t="s">
        <v>292</v>
      </c>
      <c r="J79" s="6">
        <v>747</v>
      </c>
      <c r="K79" s="6">
        <v>562</v>
      </c>
      <c r="L79" s="5" t="s">
        <v>32</v>
      </c>
      <c r="M79" s="5">
        <f t="shared" si="4"/>
        <v>137</v>
      </c>
      <c r="N79" s="6">
        <v>18</v>
      </c>
      <c r="O79" s="6">
        <v>18</v>
      </c>
      <c r="P79" s="6">
        <v>27</v>
      </c>
      <c r="Q79" s="6">
        <v>9</v>
      </c>
      <c r="R79" s="6">
        <v>37</v>
      </c>
      <c r="S79" s="6">
        <v>4</v>
      </c>
      <c r="T79" s="5">
        <f t="shared" si="5"/>
        <v>24</v>
      </c>
      <c r="U79" s="6">
        <v>9</v>
      </c>
      <c r="V79" s="6">
        <v>15</v>
      </c>
      <c r="W79" s="6">
        <v>48</v>
      </c>
    </row>
    <row r="80" spans="1:23">
      <c r="A80" s="5" t="s">
        <v>297</v>
      </c>
      <c r="B80" s="5" t="s">
        <v>310</v>
      </c>
      <c r="C80" s="5" t="s">
        <v>26</v>
      </c>
      <c r="D80" s="5" t="s">
        <v>166</v>
      </c>
      <c r="E80" s="5" t="s">
        <v>311</v>
      </c>
      <c r="F80" s="5" t="s">
        <v>29</v>
      </c>
      <c r="G80" s="6">
        <v>263</v>
      </c>
      <c r="H80" s="5" t="s">
        <v>309</v>
      </c>
      <c r="I80" s="5" t="s">
        <v>312</v>
      </c>
      <c r="J80" s="6">
        <v>263</v>
      </c>
      <c r="K80" s="6">
        <v>224</v>
      </c>
      <c r="L80" s="5" t="s">
        <v>32</v>
      </c>
      <c r="M80" s="5">
        <f t="shared" si="4"/>
        <v>30</v>
      </c>
      <c r="N80" s="6">
        <v>4</v>
      </c>
      <c r="O80" s="6">
        <v>4</v>
      </c>
      <c r="P80" s="6">
        <v>6</v>
      </c>
      <c r="Q80" s="6">
        <v>2</v>
      </c>
      <c r="R80" s="6">
        <v>8</v>
      </c>
      <c r="S80" s="6">
        <v>0</v>
      </c>
      <c r="T80" s="5">
        <f t="shared" si="5"/>
        <v>6</v>
      </c>
      <c r="U80" s="6">
        <v>2</v>
      </c>
      <c r="V80" s="6">
        <v>4</v>
      </c>
      <c r="W80" s="6">
        <v>9</v>
      </c>
    </row>
    <row r="81" spans="1:23">
      <c r="A81" s="5" t="s">
        <v>297</v>
      </c>
      <c r="B81" s="5" t="s">
        <v>159</v>
      </c>
      <c r="C81" s="5" t="s">
        <v>313</v>
      </c>
      <c r="D81" s="5" t="s">
        <v>35</v>
      </c>
      <c r="E81" s="5" t="s">
        <v>314</v>
      </c>
      <c r="F81" s="5" t="s">
        <v>29</v>
      </c>
      <c r="G81" s="6">
        <v>612</v>
      </c>
      <c r="H81" s="5" t="s">
        <v>315</v>
      </c>
      <c r="I81" s="5" t="s">
        <v>316</v>
      </c>
      <c r="J81" s="6">
        <v>612</v>
      </c>
      <c r="K81" s="6">
        <v>474</v>
      </c>
      <c r="L81" s="5" t="s">
        <v>32</v>
      </c>
      <c r="M81" s="5">
        <f t="shared" si="4"/>
        <v>103</v>
      </c>
      <c r="N81" s="6">
        <v>14</v>
      </c>
      <c r="O81" s="6">
        <v>14</v>
      </c>
      <c r="P81" s="6">
        <v>21</v>
      </c>
      <c r="Q81" s="6">
        <v>6</v>
      </c>
      <c r="R81" s="6">
        <v>28</v>
      </c>
      <c r="S81" s="6">
        <v>0</v>
      </c>
      <c r="T81" s="5">
        <f t="shared" si="5"/>
        <v>20</v>
      </c>
      <c r="U81" s="6">
        <v>6</v>
      </c>
      <c r="V81" s="6">
        <v>14</v>
      </c>
      <c r="W81" s="6">
        <v>35</v>
      </c>
    </row>
    <row r="82" spans="1:23">
      <c r="A82" s="5" t="s">
        <v>297</v>
      </c>
      <c r="B82" s="5" t="s">
        <v>317</v>
      </c>
      <c r="C82" s="5" t="s">
        <v>50</v>
      </c>
      <c r="D82" s="5" t="s">
        <v>35</v>
      </c>
      <c r="E82" s="5" t="s">
        <v>318</v>
      </c>
      <c r="F82" s="5" t="s">
        <v>57</v>
      </c>
      <c r="G82" s="6">
        <v>446</v>
      </c>
      <c r="H82" s="5" t="s">
        <v>319</v>
      </c>
      <c r="I82" s="5" t="s">
        <v>320</v>
      </c>
      <c r="J82" s="6">
        <v>446</v>
      </c>
      <c r="K82" s="6">
        <v>217</v>
      </c>
      <c r="L82" s="5" t="s">
        <v>32</v>
      </c>
      <c r="M82" s="5">
        <f t="shared" si="4"/>
        <v>229</v>
      </c>
      <c r="N82" s="6">
        <v>0</v>
      </c>
      <c r="O82" s="6">
        <v>229</v>
      </c>
      <c r="P82" s="6">
        <v>0</v>
      </c>
      <c r="Q82" s="6">
        <v>0</v>
      </c>
      <c r="R82" s="5" t="s">
        <v>32</v>
      </c>
      <c r="S82" s="5" t="s">
        <v>32</v>
      </c>
      <c r="T82" s="5">
        <f t="shared" si="5"/>
        <v>0</v>
      </c>
      <c r="U82" s="6">
        <v>0</v>
      </c>
      <c r="V82" s="6">
        <v>0</v>
      </c>
      <c r="W82" s="6">
        <v>0</v>
      </c>
    </row>
    <row r="83" spans="1:23">
      <c r="A83" s="5" t="s">
        <v>297</v>
      </c>
      <c r="B83" s="5" t="s">
        <v>317</v>
      </c>
      <c r="C83" s="5" t="s">
        <v>125</v>
      </c>
      <c r="D83" s="5" t="s">
        <v>35</v>
      </c>
      <c r="E83" s="5" t="s">
        <v>321</v>
      </c>
      <c r="F83" s="5" t="s">
        <v>57</v>
      </c>
      <c r="G83" s="6">
        <v>424</v>
      </c>
      <c r="H83" s="5" t="s">
        <v>319</v>
      </c>
      <c r="I83" s="5" t="s">
        <v>322</v>
      </c>
      <c r="J83" s="6">
        <v>424</v>
      </c>
      <c r="K83" s="6">
        <v>207</v>
      </c>
      <c r="L83" s="5" t="s">
        <v>32</v>
      </c>
      <c r="M83" s="5">
        <f t="shared" si="4"/>
        <v>217</v>
      </c>
      <c r="N83" s="6">
        <v>0</v>
      </c>
      <c r="O83" s="6">
        <v>217</v>
      </c>
      <c r="P83" s="6">
        <v>0</v>
      </c>
      <c r="Q83" s="6">
        <v>0</v>
      </c>
      <c r="R83" s="5" t="s">
        <v>32</v>
      </c>
      <c r="S83" s="5" t="s">
        <v>32</v>
      </c>
      <c r="T83" s="5">
        <f t="shared" si="5"/>
        <v>0</v>
      </c>
      <c r="U83" s="6">
        <v>0</v>
      </c>
      <c r="V83" s="6">
        <v>0</v>
      </c>
      <c r="W83" s="6">
        <v>0</v>
      </c>
    </row>
    <row r="84" spans="1:23">
      <c r="A84" s="5" t="s">
        <v>297</v>
      </c>
      <c r="B84" s="5" t="s">
        <v>128</v>
      </c>
      <c r="C84" s="5" t="s">
        <v>323</v>
      </c>
      <c r="D84" s="5" t="s">
        <v>35</v>
      </c>
      <c r="E84" s="5" t="s">
        <v>324</v>
      </c>
      <c r="F84" s="5" t="s">
        <v>57</v>
      </c>
      <c r="G84" s="6">
        <v>484</v>
      </c>
      <c r="H84" s="5" t="s">
        <v>325</v>
      </c>
      <c r="I84" s="5" t="s">
        <v>281</v>
      </c>
      <c r="J84" s="6">
        <v>484</v>
      </c>
      <c r="K84" s="6">
        <v>245</v>
      </c>
      <c r="L84" s="5" t="s">
        <v>32</v>
      </c>
      <c r="M84" s="5">
        <f t="shared" si="4"/>
        <v>239</v>
      </c>
      <c r="N84" s="6">
        <v>0</v>
      </c>
      <c r="O84" s="6">
        <v>239</v>
      </c>
      <c r="P84" s="6">
        <v>0</v>
      </c>
      <c r="Q84" s="6">
        <v>0</v>
      </c>
      <c r="R84" s="5" t="s">
        <v>32</v>
      </c>
      <c r="S84" s="5" t="s">
        <v>32</v>
      </c>
      <c r="T84" s="5">
        <f t="shared" si="5"/>
        <v>0</v>
      </c>
      <c r="U84" s="6">
        <v>0</v>
      </c>
      <c r="V84" s="6">
        <v>0</v>
      </c>
      <c r="W84" s="6">
        <v>0</v>
      </c>
    </row>
    <row r="85" spans="1:23">
      <c r="A85" s="5" t="s">
        <v>297</v>
      </c>
      <c r="B85" s="5" t="s">
        <v>326</v>
      </c>
      <c r="C85" s="5" t="s">
        <v>50</v>
      </c>
      <c r="D85" s="5" t="s">
        <v>35</v>
      </c>
      <c r="E85" s="5" t="s">
        <v>327</v>
      </c>
      <c r="F85" s="5" t="s">
        <v>57</v>
      </c>
      <c r="G85" s="6">
        <v>320</v>
      </c>
      <c r="H85" s="5" t="s">
        <v>328</v>
      </c>
      <c r="I85" s="5" t="s">
        <v>322</v>
      </c>
      <c r="J85" s="6">
        <v>320</v>
      </c>
      <c r="K85" s="6">
        <v>210</v>
      </c>
      <c r="L85" s="5" t="s">
        <v>32</v>
      </c>
      <c r="M85" s="5">
        <f t="shared" si="4"/>
        <v>110</v>
      </c>
      <c r="N85" s="6">
        <v>0</v>
      </c>
      <c r="O85" s="6">
        <v>110</v>
      </c>
      <c r="P85" s="6">
        <v>0</v>
      </c>
      <c r="Q85" s="6">
        <v>0</v>
      </c>
      <c r="R85" s="5" t="s">
        <v>32</v>
      </c>
      <c r="S85" s="5" t="s">
        <v>32</v>
      </c>
      <c r="T85" s="5">
        <f t="shared" si="5"/>
        <v>0</v>
      </c>
      <c r="U85" s="6">
        <v>0</v>
      </c>
      <c r="V85" s="6">
        <v>0</v>
      </c>
      <c r="W85" s="6">
        <v>0</v>
      </c>
    </row>
    <row r="86" spans="1:23">
      <c r="A86" s="5" t="s">
        <v>297</v>
      </c>
      <c r="B86" s="5" t="s">
        <v>329</v>
      </c>
      <c r="C86" s="5" t="s">
        <v>131</v>
      </c>
      <c r="D86" s="5" t="s">
        <v>35</v>
      </c>
      <c r="E86" s="5" t="s">
        <v>330</v>
      </c>
      <c r="F86" s="5" t="s">
        <v>57</v>
      </c>
      <c r="G86" s="6">
        <v>766</v>
      </c>
      <c r="H86" s="5" t="s">
        <v>331</v>
      </c>
      <c r="I86" s="5" t="s">
        <v>320</v>
      </c>
      <c r="J86" s="6">
        <v>766</v>
      </c>
      <c r="K86" s="6">
        <v>488</v>
      </c>
      <c r="L86" s="5" t="s">
        <v>32</v>
      </c>
      <c r="M86" s="5">
        <f t="shared" si="4"/>
        <v>278</v>
      </c>
      <c r="N86" s="6">
        <v>0</v>
      </c>
      <c r="O86" s="6">
        <v>278</v>
      </c>
      <c r="P86" s="6">
        <v>0</v>
      </c>
      <c r="Q86" s="6">
        <v>0</v>
      </c>
      <c r="R86" s="5" t="s">
        <v>32</v>
      </c>
      <c r="S86" s="5" t="s">
        <v>32</v>
      </c>
      <c r="T86" s="5">
        <f t="shared" si="5"/>
        <v>0</v>
      </c>
      <c r="U86" s="6">
        <v>0</v>
      </c>
      <c r="V86" s="6">
        <v>0</v>
      </c>
      <c r="W86" s="6">
        <v>0</v>
      </c>
    </row>
    <row r="87" spans="1:23">
      <c r="A87" s="5" t="s">
        <v>332</v>
      </c>
      <c r="B87" s="5" t="s">
        <v>333</v>
      </c>
      <c r="C87" s="5" t="s">
        <v>334</v>
      </c>
      <c r="D87" s="5" t="s">
        <v>35</v>
      </c>
      <c r="E87" s="5" t="s">
        <v>335</v>
      </c>
      <c r="F87" s="5" t="s">
        <v>29</v>
      </c>
      <c r="G87" s="6">
        <v>430</v>
      </c>
      <c r="H87" s="5" t="s">
        <v>336</v>
      </c>
      <c r="I87" s="5" t="s">
        <v>337</v>
      </c>
      <c r="J87" s="6">
        <v>430</v>
      </c>
      <c r="K87" s="6">
        <v>351</v>
      </c>
      <c r="L87" s="5" t="s">
        <v>32</v>
      </c>
      <c r="M87" s="5">
        <f t="shared" si="4"/>
        <v>59</v>
      </c>
      <c r="N87" s="6">
        <v>8</v>
      </c>
      <c r="O87" s="6">
        <v>8</v>
      </c>
      <c r="P87" s="6">
        <v>12</v>
      </c>
      <c r="Q87" s="6">
        <v>4</v>
      </c>
      <c r="R87" s="6">
        <v>15</v>
      </c>
      <c r="S87" s="6">
        <v>0</v>
      </c>
      <c r="T87" s="5">
        <f t="shared" si="5"/>
        <v>12</v>
      </c>
      <c r="U87" s="6">
        <v>4</v>
      </c>
      <c r="V87" s="6">
        <v>8</v>
      </c>
      <c r="W87" s="6">
        <v>20</v>
      </c>
    </row>
    <row r="88" spans="1:23">
      <c r="A88" s="5" t="s">
        <v>332</v>
      </c>
      <c r="B88" s="5" t="s">
        <v>333</v>
      </c>
      <c r="C88" s="5" t="s">
        <v>338</v>
      </c>
      <c r="D88" s="5" t="s">
        <v>35</v>
      </c>
      <c r="E88" s="5" t="s">
        <v>339</v>
      </c>
      <c r="F88" s="5" t="s">
        <v>29</v>
      </c>
      <c r="G88" s="6">
        <v>759</v>
      </c>
      <c r="H88" s="5" t="s">
        <v>336</v>
      </c>
      <c r="I88" s="5" t="s">
        <v>340</v>
      </c>
      <c r="J88" s="6">
        <v>759</v>
      </c>
      <c r="K88" s="6">
        <v>633</v>
      </c>
      <c r="L88" s="5" t="s">
        <v>32</v>
      </c>
      <c r="M88" s="5">
        <f t="shared" si="4"/>
        <v>95</v>
      </c>
      <c r="N88" s="6">
        <v>13</v>
      </c>
      <c r="O88" s="6">
        <v>13</v>
      </c>
      <c r="P88" s="6">
        <v>20</v>
      </c>
      <c r="Q88" s="6">
        <v>6</v>
      </c>
      <c r="R88" s="6">
        <v>25</v>
      </c>
      <c r="S88" s="6">
        <v>0</v>
      </c>
      <c r="T88" s="5">
        <f t="shared" si="5"/>
        <v>18</v>
      </c>
      <c r="U88" s="6">
        <v>6</v>
      </c>
      <c r="V88" s="6">
        <v>12</v>
      </c>
      <c r="W88" s="6">
        <v>31</v>
      </c>
    </row>
    <row r="89" spans="1:23">
      <c r="A89" s="5" t="s">
        <v>332</v>
      </c>
      <c r="B89" s="5" t="s">
        <v>333</v>
      </c>
      <c r="C89" s="5" t="s">
        <v>341</v>
      </c>
      <c r="D89" s="5" t="s">
        <v>35</v>
      </c>
      <c r="E89" s="5" t="s">
        <v>342</v>
      </c>
      <c r="F89" s="5" t="s">
        <v>57</v>
      </c>
      <c r="G89" s="6">
        <v>603</v>
      </c>
      <c r="H89" s="5" t="s">
        <v>336</v>
      </c>
      <c r="I89" s="5" t="s">
        <v>340</v>
      </c>
      <c r="J89" s="6">
        <v>603</v>
      </c>
      <c r="K89" s="6">
        <v>417</v>
      </c>
      <c r="L89" s="5" t="s">
        <v>32</v>
      </c>
      <c r="M89" s="5">
        <f t="shared" si="4"/>
        <v>186</v>
      </c>
      <c r="N89" s="6">
        <v>0</v>
      </c>
      <c r="O89" s="6">
        <v>186</v>
      </c>
      <c r="P89" s="6">
        <v>0</v>
      </c>
      <c r="Q89" s="6">
        <v>0</v>
      </c>
      <c r="R89" s="5" t="s">
        <v>32</v>
      </c>
      <c r="S89" s="5" t="s">
        <v>32</v>
      </c>
      <c r="T89" s="5">
        <f t="shared" si="5"/>
        <v>0</v>
      </c>
      <c r="U89" s="6">
        <v>0</v>
      </c>
      <c r="V89" s="6">
        <v>0</v>
      </c>
      <c r="W89" s="6">
        <v>0</v>
      </c>
    </row>
    <row r="90" spans="1:23">
      <c r="A90" s="5" t="s">
        <v>332</v>
      </c>
      <c r="B90" s="5" t="s">
        <v>343</v>
      </c>
      <c r="C90" s="5" t="s">
        <v>139</v>
      </c>
      <c r="D90" s="5" t="s">
        <v>35</v>
      </c>
      <c r="E90" s="5" t="s">
        <v>344</v>
      </c>
      <c r="F90" s="5" t="s">
        <v>29</v>
      </c>
      <c r="G90" s="6">
        <v>1115</v>
      </c>
      <c r="H90" s="5" t="s">
        <v>345</v>
      </c>
      <c r="I90" s="5" t="s">
        <v>346</v>
      </c>
      <c r="J90" s="6">
        <v>1115</v>
      </c>
      <c r="K90" s="6">
        <v>866</v>
      </c>
      <c r="L90" s="5" t="s">
        <v>32</v>
      </c>
      <c r="M90" s="5">
        <f t="shared" si="4"/>
        <v>186</v>
      </c>
      <c r="N90" s="6">
        <v>25</v>
      </c>
      <c r="O90" s="6">
        <v>25</v>
      </c>
      <c r="P90" s="6">
        <v>37</v>
      </c>
      <c r="Q90" s="6">
        <v>12</v>
      </c>
      <c r="R90" s="6">
        <v>50</v>
      </c>
      <c r="S90" s="6">
        <v>0</v>
      </c>
      <c r="T90" s="5">
        <f t="shared" si="5"/>
        <v>37</v>
      </c>
      <c r="U90" s="6">
        <v>12</v>
      </c>
      <c r="V90" s="6">
        <v>25</v>
      </c>
      <c r="W90" s="6">
        <v>63</v>
      </c>
    </row>
    <row r="91" spans="1:23">
      <c r="A91" s="5" t="s">
        <v>332</v>
      </c>
      <c r="B91" s="5" t="s">
        <v>347</v>
      </c>
      <c r="C91" s="5" t="s">
        <v>348</v>
      </c>
      <c r="D91" s="5" t="s">
        <v>35</v>
      </c>
      <c r="E91" s="5" t="s">
        <v>349</v>
      </c>
      <c r="F91" s="5" t="s">
        <v>29</v>
      </c>
      <c r="G91" s="6">
        <v>473</v>
      </c>
      <c r="H91" s="5" t="s">
        <v>350</v>
      </c>
      <c r="I91" s="5" t="s">
        <v>340</v>
      </c>
      <c r="J91" s="6">
        <v>473</v>
      </c>
      <c r="K91" s="6">
        <v>369</v>
      </c>
      <c r="L91" s="5" t="s">
        <v>32</v>
      </c>
      <c r="M91" s="5">
        <f t="shared" si="4"/>
        <v>77</v>
      </c>
      <c r="N91" s="6">
        <v>10</v>
      </c>
      <c r="O91" s="6">
        <v>10</v>
      </c>
      <c r="P91" s="6">
        <v>16</v>
      </c>
      <c r="Q91" s="6">
        <v>5</v>
      </c>
      <c r="R91" s="6">
        <v>21</v>
      </c>
      <c r="S91" s="6">
        <v>0</v>
      </c>
      <c r="T91" s="5">
        <f t="shared" si="5"/>
        <v>15</v>
      </c>
      <c r="U91" s="6">
        <v>5</v>
      </c>
      <c r="V91" s="6">
        <v>10</v>
      </c>
      <c r="W91" s="6">
        <v>27</v>
      </c>
    </row>
    <row r="92" spans="1:23">
      <c r="A92" s="5" t="s">
        <v>332</v>
      </c>
      <c r="B92" s="5" t="s">
        <v>347</v>
      </c>
      <c r="C92" s="5" t="s">
        <v>351</v>
      </c>
      <c r="D92" s="5" t="s">
        <v>35</v>
      </c>
      <c r="E92" s="5" t="s">
        <v>352</v>
      </c>
      <c r="F92" s="5" t="s">
        <v>29</v>
      </c>
      <c r="G92" s="6">
        <v>392</v>
      </c>
      <c r="H92" s="5" t="s">
        <v>350</v>
      </c>
      <c r="I92" s="5" t="s">
        <v>340</v>
      </c>
      <c r="J92" s="6">
        <v>392</v>
      </c>
      <c r="K92" s="6">
        <v>304</v>
      </c>
      <c r="L92" s="5" t="s">
        <v>32</v>
      </c>
      <c r="M92" s="5">
        <f t="shared" si="4"/>
        <v>66</v>
      </c>
      <c r="N92" s="6">
        <v>9</v>
      </c>
      <c r="O92" s="6">
        <v>9</v>
      </c>
      <c r="P92" s="6">
        <v>13</v>
      </c>
      <c r="Q92" s="6">
        <v>4</v>
      </c>
      <c r="R92" s="6">
        <v>18</v>
      </c>
      <c r="S92" s="6">
        <v>0</v>
      </c>
      <c r="T92" s="5">
        <f t="shared" si="5"/>
        <v>13</v>
      </c>
      <c r="U92" s="6">
        <v>4</v>
      </c>
      <c r="V92" s="6">
        <v>9</v>
      </c>
      <c r="W92" s="6">
        <v>22</v>
      </c>
    </row>
    <row r="93" spans="1:23">
      <c r="A93" s="5" t="s">
        <v>332</v>
      </c>
      <c r="B93" s="5" t="s">
        <v>347</v>
      </c>
      <c r="C93" s="5" t="s">
        <v>323</v>
      </c>
      <c r="D93" s="5" t="s">
        <v>35</v>
      </c>
      <c r="E93" s="5" t="s">
        <v>353</v>
      </c>
      <c r="F93" s="5" t="s">
        <v>57</v>
      </c>
      <c r="G93" s="6">
        <v>638</v>
      </c>
      <c r="H93" s="5" t="s">
        <v>350</v>
      </c>
      <c r="I93" s="5" t="s">
        <v>320</v>
      </c>
      <c r="J93" s="6">
        <v>638</v>
      </c>
      <c r="K93" s="6">
        <v>328</v>
      </c>
      <c r="L93" s="5" t="s">
        <v>32</v>
      </c>
      <c r="M93" s="5">
        <f t="shared" si="4"/>
        <v>310</v>
      </c>
      <c r="N93" s="6">
        <v>0</v>
      </c>
      <c r="O93" s="6">
        <v>310</v>
      </c>
      <c r="P93" s="6">
        <v>0</v>
      </c>
      <c r="Q93" s="6">
        <v>0</v>
      </c>
      <c r="R93" s="5" t="s">
        <v>32</v>
      </c>
      <c r="S93" s="5" t="s">
        <v>32</v>
      </c>
      <c r="T93" s="5">
        <f t="shared" si="5"/>
        <v>0</v>
      </c>
      <c r="U93" s="6">
        <v>0</v>
      </c>
      <c r="V93" s="6">
        <v>0</v>
      </c>
      <c r="W93" s="6">
        <v>0</v>
      </c>
    </row>
    <row r="94" spans="1:23">
      <c r="A94" s="5" t="s">
        <v>332</v>
      </c>
      <c r="B94" s="5" t="s">
        <v>347</v>
      </c>
      <c r="C94" s="5" t="s">
        <v>354</v>
      </c>
      <c r="D94" s="5" t="s">
        <v>35</v>
      </c>
      <c r="E94" s="5" t="s">
        <v>355</v>
      </c>
      <c r="F94" s="5" t="s">
        <v>57</v>
      </c>
      <c r="G94" s="6">
        <v>461</v>
      </c>
      <c r="H94" s="5" t="s">
        <v>350</v>
      </c>
      <c r="I94" s="5" t="s">
        <v>320</v>
      </c>
      <c r="J94" s="6">
        <v>461</v>
      </c>
      <c r="K94" s="6">
        <v>239</v>
      </c>
      <c r="L94" s="5" t="s">
        <v>32</v>
      </c>
      <c r="M94" s="5">
        <f t="shared" si="4"/>
        <v>222</v>
      </c>
      <c r="N94" s="6">
        <v>0</v>
      </c>
      <c r="O94" s="6">
        <v>222</v>
      </c>
      <c r="P94" s="6">
        <v>0</v>
      </c>
      <c r="Q94" s="6">
        <v>0</v>
      </c>
      <c r="R94" s="5" t="s">
        <v>32</v>
      </c>
      <c r="S94" s="5" t="s">
        <v>32</v>
      </c>
      <c r="T94" s="5">
        <f t="shared" si="5"/>
        <v>0</v>
      </c>
      <c r="U94" s="6">
        <v>0</v>
      </c>
      <c r="V94" s="6">
        <v>0</v>
      </c>
      <c r="W94" s="6">
        <v>0</v>
      </c>
    </row>
    <row r="95" spans="1:23">
      <c r="A95" s="5" t="s">
        <v>332</v>
      </c>
      <c r="B95" s="5" t="s">
        <v>98</v>
      </c>
      <c r="C95" s="5" t="s">
        <v>356</v>
      </c>
      <c r="D95" s="5" t="s">
        <v>35</v>
      </c>
      <c r="E95" s="5" t="s">
        <v>357</v>
      </c>
      <c r="F95" s="5" t="s">
        <v>29</v>
      </c>
      <c r="G95" s="6">
        <v>869</v>
      </c>
      <c r="H95" s="5" t="s">
        <v>358</v>
      </c>
      <c r="I95" s="5" t="s">
        <v>359</v>
      </c>
      <c r="J95" s="6">
        <v>869</v>
      </c>
      <c r="K95" s="6">
        <v>708</v>
      </c>
      <c r="L95" s="5" t="s">
        <v>32</v>
      </c>
      <c r="M95" s="5">
        <f t="shared" si="4"/>
        <v>123</v>
      </c>
      <c r="N95" s="6">
        <v>16</v>
      </c>
      <c r="O95" s="6">
        <v>16</v>
      </c>
      <c r="P95" s="6">
        <v>24</v>
      </c>
      <c r="Q95" s="6">
        <v>8</v>
      </c>
      <c r="R95" s="6">
        <v>32</v>
      </c>
      <c r="S95" s="6">
        <v>0</v>
      </c>
      <c r="T95" s="5">
        <f t="shared" si="5"/>
        <v>27</v>
      </c>
      <c r="U95" s="6">
        <v>8</v>
      </c>
      <c r="V95" s="6">
        <v>19</v>
      </c>
      <c r="W95" s="6">
        <v>38</v>
      </c>
    </row>
    <row r="96" spans="1:23">
      <c r="A96" s="5" t="s">
        <v>332</v>
      </c>
      <c r="B96" s="5" t="s">
        <v>360</v>
      </c>
      <c r="C96" s="5" t="s">
        <v>361</v>
      </c>
      <c r="D96" s="5" t="s">
        <v>35</v>
      </c>
      <c r="E96" s="5" t="s">
        <v>362</v>
      </c>
      <c r="F96" s="5" t="s">
        <v>29</v>
      </c>
      <c r="G96" s="6">
        <v>629</v>
      </c>
      <c r="H96" s="5" t="s">
        <v>363</v>
      </c>
      <c r="I96" s="5" t="s">
        <v>364</v>
      </c>
      <c r="J96" s="6">
        <v>629</v>
      </c>
      <c r="K96" s="6">
        <v>490</v>
      </c>
      <c r="L96" s="5" t="s">
        <v>32</v>
      </c>
      <c r="M96" s="5">
        <f t="shared" si="4"/>
        <v>105</v>
      </c>
      <c r="N96" s="6">
        <v>14</v>
      </c>
      <c r="O96" s="6">
        <v>14</v>
      </c>
      <c r="P96" s="6">
        <v>21</v>
      </c>
      <c r="Q96" s="6">
        <v>7</v>
      </c>
      <c r="R96" s="6">
        <v>28</v>
      </c>
      <c r="S96" s="6">
        <v>0</v>
      </c>
      <c r="T96" s="5">
        <f t="shared" si="5"/>
        <v>21</v>
      </c>
      <c r="U96" s="6">
        <v>7</v>
      </c>
      <c r="V96" s="6">
        <v>14</v>
      </c>
      <c r="W96" s="6">
        <v>34</v>
      </c>
    </row>
    <row r="97" spans="1:23">
      <c r="A97" s="5" t="s">
        <v>332</v>
      </c>
      <c r="B97" s="5" t="s">
        <v>360</v>
      </c>
      <c r="C97" s="5" t="s">
        <v>365</v>
      </c>
      <c r="D97" s="5" t="s">
        <v>35</v>
      </c>
      <c r="E97" s="5" t="s">
        <v>366</v>
      </c>
      <c r="F97" s="5" t="s">
        <v>57</v>
      </c>
      <c r="G97" s="6">
        <v>401</v>
      </c>
      <c r="H97" s="5" t="s">
        <v>363</v>
      </c>
      <c r="I97" s="5" t="s">
        <v>364</v>
      </c>
      <c r="J97" s="6">
        <v>401</v>
      </c>
      <c r="K97" s="6">
        <v>208</v>
      </c>
      <c r="L97" s="5" t="s">
        <v>32</v>
      </c>
      <c r="M97" s="5">
        <f t="shared" si="4"/>
        <v>193</v>
      </c>
      <c r="N97" s="6">
        <v>0</v>
      </c>
      <c r="O97" s="6">
        <v>193</v>
      </c>
      <c r="P97" s="6">
        <v>0</v>
      </c>
      <c r="Q97" s="6">
        <v>0</v>
      </c>
      <c r="R97" s="5" t="s">
        <v>32</v>
      </c>
      <c r="S97" s="5" t="s">
        <v>32</v>
      </c>
      <c r="T97" s="5">
        <f t="shared" si="5"/>
        <v>0</v>
      </c>
      <c r="U97" s="6">
        <v>0</v>
      </c>
      <c r="V97" s="6">
        <v>0</v>
      </c>
      <c r="W97" s="6">
        <v>0</v>
      </c>
    </row>
    <row r="98" spans="1:23">
      <c r="A98" s="5" t="s">
        <v>332</v>
      </c>
      <c r="B98" s="5" t="s">
        <v>367</v>
      </c>
      <c r="C98" s="5" t="s">
        <v>134</v>
      </c>
      <c r="D98" s="5" t="s">
        <v>35</v>
      </c>
      <c r="E98" s="5" t="s">
        <v>368</v>
      </c>
      <c r="F98" s="5" t="s">
        <v>57</v>
      </c>
      <c r="G98" s="6">
        <v>1182</v>
      </c>
      <c r="H98" s="5" t="s">
        <v>369</v>
      </c>
      <c r="I98" s="5" t="s">
        <v>370</v>
      </c>
      <c r="J98" s="6">
        <v>1182</v>
      </c>
      <c r="K98" s="6">
        <v>721</v>
      </c>
      <c r="L98" s="5" t="s">
        <v>32</v>
      </c>
      <c r="M98" s="5">
        <f t="shared" si="4"/>
        <v>461</v>
      </c>
      <c r="N98" s="6">
        <v>0</v>
      </c>
      <c r="O98" s="6">
        <v>461</v>
      </c>
      <c r="P98" s="6">
        <v>0</v>
      </c>
      <c r="Q98" s="6">
        <v>0</v>
      </c>
      <c r="R98" s="5" t="s">
        <v>32</v>
      </c>
      <c r="S98" s="5" t="s">
        <v>32</v>
      </c>
      <c r="T98" s="5">
        <f t="shared" si="5"/>
        <v>0</v>
      </c>
      <c r="U98" s="6">
        <v>0</v>
      </c>
      <c r="V98" s="6">
        <v>0</v>
      </c>
      <c r="W98" s="6">
        <v>0</v>
      </c>
    </row>
    <row r="99" spans="1:23">
      <c r="A99" s="5" t="s">
        <v>332</v>
      </c>
      <c r="B99" s="5" t="s">
        <v>360</v>
      </c>
      <c r="C99" s="5" t="s">
        <v>371</v>
      </c>
      <c r="D99" s="5" t="s">
        <v>35</v>
      </c>
      <c r="E99" s="5" t="s">
        <v>372</v>
      </c>
      <c r="F99" s="5" t="s">
        <v>29</v>
      </c>
      <c r="G99" s="6">
        <v>560</v>
      </c>
      <c r="H99" s="5" t="s">
        <v>369</v>
      </c>
      <c r="I99" s="5" t="s">
        <v>373</v>
      </c>
      <c r="J99" s="6">
        <v>560</v>
      </c>
      <c r="K99" s="6">
        <v>436</v>
      </c>
      <c r="L99" s="5" t="s">
        <v>32</v>
      </c>
      <c r="M99" s="5">
        <f t="shared" si="4"/>
        <v>93</v>
      </c>
      <c r="N99" s="6">
        <v>13</v>
      </c>
      <c r="O99" s="6">
        <v>13</v>
      </c>
      <c r="P99" s="6">
        <v>18</v>
      </c>
      <c r="Q99" s="6">
        <v>7</v>
      </c>
      <c r="R99" s="6">
        <v>24</v>
      </c>
      <c r="S99" s="6">
        <v>0</v>
      </c>
      <c r="T99" s="5">
        <f t="shared" si="5"/>
        <v>18</v>
      </c>
      <c r="U99" s="6">
        <v>7</v>
      </c>
      <c r="V99" s="6">
        <v>11</v>
      </c>
      <c r="W99" s="6">
        <v>31</v>
      </c>
    </row>
    <row r="100" spans="1:23">
      <c r="A100" s="5" t="s">
        <v>332</v>
      </c>
      <c r="B100" s="5" t="s">
        <v>360</v>
      </c>
      <c r="C100" s="5" t="s">
        <v>374</v>
      </c>
      <c r="D100" s="5" t="s">
        <v>35</v>
      </c>
      <c r="E100" s="5" t="s">
        <v>375</v>
      </c>
      <c r="F100" s="5" t="s">
        <v>29</v>
      </c>
      <c r="G100" s="6">
        <v>587</v>
      </c>
      <c r="H100" s="5" t="s">
        <v>369</v>
      </c>
      <c r="I100" s="5" t="s">
        <v>376</v>
      </c>
      <c r="J100" s="6">
        <v>587</v>
      </c>
      <c r="K100" s="6">
        <v>410</v>
      </c>
      <c r="L100" s="5" t="s">
        <v>32</v>
      </c>
      <c r="M100" s="5">
        <f t="shared" si="4"/>
        <v>132</v>
      </c>
      <c r="N100" s="6">
        <v>18</v>
      </c>
      <c r="O100" s="6">
        <v>18</v>
      </c>
      <c r="P100" s="6">
        <v>27</v>
      </c>
      <c r="Q100" s="6">
        <v>8</v>
      </c>
      <c r="R100" s="6">
        <v>35</v>
      </c>
      <c r="S100" s="6">
        <v>0</v>
      </c>
      <c r="T100" s="5">
        <f t="shared" si="5"/>
        <v>26</v>
      </c>
      <c r="U100" s="6">
        <v>8</v>
      </c>
      <c r="V100" s="6">
        <v>18</v>
      </c>
      <c r="W100" s="6">
        <v>45</v>
      </c>
    </row>
    <row r="101" spans="1:23">
      <c r="A101" s="5" t="s">
        <v>332</v>
      </c>
      <c r="B101" s="5" t="s">
        <v>377</v>
      </c>
      <c r="C101" s="5" t="s">
        <v>134</v>
      </c>
      <c r="D101" s="5" t="s">
        <v>35</v>
      </c>
      <c r="E101" s="5" t="s">
        <v>378</v>
      </c>
      <c r="F101" s="5" t="s">
        <v>29</v>
      </c>
      <c r="G101" s="6">
        <v>920</v>
      </c>
      <c r="H101" s="5" t="s">
        <v>379</v>
      </c>
      <c r="I101" s="5" t="s">
        <v>380</v>
      </c>
      <c r="J101" s="6">
        <v>920</v>
      </c>
      <c r="K101" s="6">
        <v>657</v>
      </c>
      <c r="L101" s="5" t="s">
        <v>32</v>
      </c>
      <c r="M101" s="5">
        <f t="shared" si="4"/>
        <v>198</v>
      </c>
      <c r="N101" s="6">
        <v>26</v>
      </c>
      <c r="O101" s="6">
        <v>26</v>
      </c>
      <c r="P101" s="6">
        <v>39</v>
      </c>
      <c r="Q101" s="6">
        <v>13</v>
      </c>
      <c r="R101" s="6">
        <v>52</v>
      </c>
      <c r="S101" s="6">
        <v>0</v>
      </c>
      <c r="T101" s="5">
        <f t="shared" si="5"/>
        <v>42</v>
      </c>
      <c r="U101" s="6">
        <v>13</v>
      </c>
      <c r="V101" s="6">
        <v>29</v>
      </c>
      <c r="W101" s="6">
        <v>65</v>
      </c>
    </row>
    <row r="102" spans="1:23">
      <c r="A102" s="5" t="s">
        <v>332</v>
      </c>
      <c r="B102" s="5" t="s">
        <v>377</v>
      </c>
      <c r="C102" s="5" t="s">
        <v>99</v>
      </c>
      <c r="D102" s="5" t="s">
        <v>35</v>
      </c>
      <c r="E102" s="5" t="s">
        <v>381</v>
      </c>
      <c r="F102" s="5" t="s">
        <v>57</v>
      </c>
      <c r="G102" s="6">
        <v>255</v>
      </c>
      <c r="H102" s="5" t="s">
        <v>379</v>
      </c>
      <c r="I102" s="5" t="s">
        <v>322</v>
      </c>
      <c r="J102" s="6">
        <v>255</v>
      </c>
      <c r="K102" s="6">
        <v>149</v>
      </c>
      <c r="L102" s="5" t="s">
        <v>32</v>
      </c>
      <c r="M102" s="5">
        <f t="shared" si="4"/>
        <v>106</v>
      </c>
      <c r="N102" s="6">
        <v>0</v>
      </c>
      <c r="O102" s="6">
        <v>106</v>
      </c>
      <c r="P102" s="6">
        <v>0</v>
      </c>
      <c r="Q102" s="6">
        <v>0</v>
      </c>
      <c r="R102" s="5" t="s">
        <v>32</v>
      </c>
      <c r="S102" s="5" t="s">
        <v>32</v>
      </c>
      <c r="T102" s="5">
        <f t="shared" si="5"/>
        <v>0</v>
      </c>
      <c r="U102" s="6">
        <v>0</v>
      </c>
      <c r="V102" s="6">
        <v>0</v>
      </c>
      <c r="W102" s="6">
        <v>0</v>
      </c>
    </row>
    <row r="103" spans="1:23">
      <c r="A103" s="5" t="s">
        <v>332</v>
      </c>
      <c r="B103" s="5" t="s">
        <v>382</v>
      </c>
      <c r="C103" s="5" t="s">
        <v>383</v>
      </c>
      <c r="D103" s="5" t="s">
        <v>35</v>
      </c>
      <c r="E103" s="5" t="s">
        <v>384</v>
      </c>
      <c r="F103" s="5" t="s">
        <v>57</v>
      </c>
      <c r="G103" s="6">
        <v>686</v>
      </c>
      <c r="H103" s="5" t="s">
        <v>385</v>
      </c>
      <c r="I103" s="5" t="s">
        <v>376</v>
      </c>
      <c r="J103" s="6">
        <v>686</v>
      </c>
      <c r="K103" s="6">
        <v>542</v>
      </c>
      <c r="L103" s="5" t="s">
        <v>32</v>
      </c>
      <c r="M103" s="5">
        <f t="shared" si="4"/>
        <v>144</v>
      </c>
      <c r="N103" s="6">
        <v>0</v>
      </c>
      <c r="O103" s="6">
        <v>144</v>
      </c>
      <c r="P103" s="6">
        <v>0</v>
      </c>
      <c r="Q103" s="6">
        <v>0</v>
      </c>
      <c r="R103" s="5" t="s">
        <v>32</v>
      </c>
      <c r="S103" s="5" t="s">
        <v>32</v>
      </c>
      <c r="T103" s="5">
        <f t="shared" si="5"/>
        <v>0</v>
      </c>
      <c r="U103" s="6">
        <v>0</v>
      </c>
      <c r="V103" s="6">
        <v>0</v>
      </c>
      <c r="W103" s="6">
        <v>0</v>
      </c>
    </row>
    <row r="104" spans="1:23">
      <c r="A104" s="5" t="s">
        <v>332</v>
      </c>
      <c r="B104" s="5" t="s">
        <v>386</v>
      </c>
      <c r="C104" s="5" t="s">
        <v>50</v>
      </c>
      <c r="D104" s="5" t="s">
        <v>35</v>
      </c>
      <c r="E104" s="5" t="s">
        <v>387</v>
      </c>
      <c r="F104" s="5" t="s">
        <v>29</v>
      </c>
      <c r="G104" s="6">
        <v>538</v>
      </c>
      <c r="H104" s="5" t="s">
        <v>388</v>
      </c>
      <c r="I104" s="5" t="s">
        <v>376</v>
      </c>
      <c r="J104" s="6">
        <v>538</v>
      </c>
      <c r="K104" s="6">
        <v>300</v>
      </c>
      <c r="L104" s="5" t="s">
        <v>32</v>
      </c>
      <c r="M104" s="5">
        <f t="shared" si="4"/>
        <v>178</v>
      </c>
      <c r="N104" s="6">
        <v>24</v>
      </c>
      <c r="O104" s="6">
        <v>24</v>
      </c>
      <c r="P104" s="6">
        <v>36</v>
      </c>
      <c r="Q104" s="6">
        <v>12</v>
      </c>
      <c r="R104" s="6">
        <v>48</v>
      </c>
      <c r="S104" s="6">
        <v>0</v>
      </c>
      <c r="T104" s="5">
        <f t="shared" si="5"/>
        <v>34</v>
      </c>
      <c r="U104" s="6">
        <v>11</v>
      </c>
      <c r="V104" s="6">
        <v>23</v>
      </c>
      <c r="W104" s="6">
        <v>60</v>
      </c>
    </row>
    <row r="105" spans="1:23">
      <c r="A105" s="5" t="s">
        <v>332</v>
      </c>
      <c r="B105" s="5" t="s">
        <v>389</v>
      </c>
      <c r="C105" s="5" t="s">
        <v>26</v>
      </c>
      <c r="D105" s="5" t="s">
        <v>390</v>
      </c>
      <c r="E105" s="5" t="s">
        <v>391</v>
      </c>
      <c r="F105" s="5" t="s">
        <v>73</v>
      </c>
      <c r="G105" s="6">
        <v>1130</v>
      </c>
      <c r="H105" s="5" t="s">
        <v>392</v>
      </c>
      <c r="I105" s="5" t="s">
        <v>393</v>
      </c>
      <c r="J105" s="6">
        <v>1130</v>
      </c>
      <c r="K105" s="5" t="s">
        <v>32</v>
      </c>
      <c r="L105" s="6">
        <v>1130</v>
      </c>
      <c r="M105" s="5"/>
      <c r="N105" s="5"/>
      <c r="O105" s="5"/>
      <c r="P105" s="5"/>
      <c r="Q105" s="5"/>
      <c r="R105" s="5"/>
      <c r="S105" s="5"/>
      <c r="T105" s="5"/>
      <c r="U105" s="5"/>
      <c r="V105" s="5" t="s">
        <v>32</v>
      </c>
      <c r="W105" s="5" t="s">
        <v>32</v>
      </c>
    </row>
    <row r="106" spans="1:23">
      <c r="A106" s="5" t="s">
        <v>332</v>
      </c>
      <c r="B106" s="5" t="s">
        <v>394</v>
      </c>
      <c r="C106" s="5" t="s">
        <v>131</v>
      </c>
      <c r="D106" s="5" t="s">
        <v>35</v>
      </c>
      <c r="E106" s="5" t="s">
        <v>395</v>
      </c>
      <c r="F106" s="5" t="s">
        <v>57</v>
      </c>
      <c r="G106" s="6">
        <v>390</v>
      </c>
      <c r="H106" s="5" t="s">
        <v>396</v>
      </c>
      <c r="I106" s="5" t="s">
        <v>380</v>
      </c>
      <c r="J106" s="6">
        <v>390</v>
      </c>
      <c r="K106" s="6">
        <v>178</v>
      </c>
      <c r="L106" s="5" t="s">
        <v>32</v>
      </c>
      <c r="M106" s="5">
        <f t="shared" si="4"/>
        <v>212</v>
      </c>
      <c r="N106" s="6">
        <v>0</v>
      </c>
      <c r="O106" s="6">
        <v>212</v>
      </c>
      <c r="P106" s="6">
        <v>0</v>
      </c>
      <c r="Q106" s="6">
        <v>0</v>
      </c>
      <c r="R106" s="5" t="s">
        <v>32</v>
      </c>
      <c r="S106" s="5" t="s">
        <v>32</v>
      </c>
      <c r="T106" s="5">
        <f t="shared" si="5"/>
        <v>0</v>
      </c>
      <c r="U106" s="6">
        <v>0</v>
      </c>
      <c r="V106" s="6">
        <v>0</v>
      </c>
      <c r="W106" s="6">
        <v>0</v>
      </c>
    </row>
    <row r="107" spans="1:23">
      <c r="A107" s="5" t="s">
        <v>332</v>
      </c>
      <c r="B107" s="5" t="s">
        <v>377</v>
      </c>
      <c r="C107" s="5" t="s">
        <v>397</v>
      </c>
      <c r="D107" s="5" t="s">
        <v>35</v>
      </c>
      <c r="E107" s="5" t="s">
        <v>398</v>
      </c>
      <c r="F107" s="5" t="s">
        <v>29</v>
      </c>
      <c r="G107" s="6">
        <v>405</v>
      </c>
      <c r="H107" s="5" t="s">
        <v>399</v>
      </c>
      <c r="I107" s="5" t="s">
        <v>370</v>
      </c>
      <c r="J107" s="6">
        <v>405</v>
      </c>
      <c r="K107" s="6">
        <v>258</v>
      </c>
      <c r="L107" s="5" t="s">
        <v>32</v>
      </c>
      <c r="M107" s="5">
        <f t="shared" si="4"/>
        <v>113</v>
      </c>
      <c r="N107" s="6">
        <v>14</v>
      </c>
      <c r="O107" s="6">
        <v>14</v>
      </c>
      <c r="P107" s="6">
        <v>22</v>
      </c>
      <c r="Q107" s="6">
        <v>7</v>
      </c>
      <c r="R107" s="6">
        <v>29</v>
      </c>
      <c r="S107" s="6">
        <v>6</v>
      </c>
      <c r="T107" s="5">
        <f t="shared" si="5"/>
        <v>21</v>
      </c>
      <c r="U107" s="6">
        <v>7</v>
      </c>
      <c r="V107" s="6">
        <v>14</v>
      </c>
      <c r="W107" s="6">
        <v>34</v>
      </c>
    </row>
    <row r="108" spans="1:23">
      <c r="A108" s="5" t="s">
        <v>332</v>
      </c>
      <c r="B108" s="5" t="s">
        <v>400</v>
      </c>
      <c r="C108" s="5" t="s">
        <v>401</v>
      </c>
      <c r="D108" s="5" t="s">
        <v>241</v>
      </c>
      <c r="E108" s="5" t="s">
        <v>402</v>
      </c>
      <c r="F108" s="5" t="s">
        <v>29</v>
      </c>
      <c r="G108" s="6">
        <v>277</v>
      </c>
      <c r="H108" s="5" t="s">
        <v>399</v>
      </c>
      <c r="I108" s="5" t="s">
        <v>320</v>
      </c>
      <c r="J108" s="6">
        <v>277</v>
      </c>
      <c r="K108" s="6">
        <v>0</v>
      </c>
      <c r="L108" s="5" t="s">
        <v>32</v>
      </c>
      <c r="M108" s="5">
        <f t="shared" si="4"/>
        <v>208</v>
      </c>
      <c r="N108" s="6">
        <v>28</v>
      </c>
      <c r="O108" s="6">
        <v>28</v>
      </c>
      <c r="P108" s="6">
        <v>41</v>
      </c>
      <c r="Q108" s="6">
        <v>14</v>
      </c>
      <c r="R108" s="6">
        <v>55</v>
      </c>
      <c r="S108" s="6">
        <v>0</v>
      </c>
      <c r="T108" s="5">
        <f t="shared" si="5"/>
        <v>42</v>
      </c>
      <c r="U108" s="6">
        <v>14</v>
      </c>
      <c r="V108" s="6">
        <v>28</v>
      </c>
      <c r="W108" s="6">
        <v>69</v>
      </c>
    </row>
    <row r="109" spans="1:23">
      <c r="A109" s="5" t="s">
        <v>332</v>
      </c>
      <c r="B109" s="5" t="s">
        <v>403</v>
      </c>
      <c r="C109" s="5" t="s">
        <v>55</v>
      </c>
      <c r="D109" s="5" t="s">
        <v>404</v>
      </c>
      <c r="E109" s="5" t="s">
        <v>405</v>
      </c>
      <c r="F109" s="5" t="s">
        <v>29</v>
      </c>
      <c r="G109" s="6">
        <v>295</v>
      </c>
      <c r="H109" s="5" t="s">
        <v>406</v>
      </c>
      <c r="I109" s="5" t="s">
        <v>322</v>
      </c>
      <c r="J109" s="6">
        <v>295</v>
      </c>
      <c r="K109" s="6">
        <v>0</v>
      </c>
      <c r="L109" s="5" t="s">
        <v>32</v>
      </c>
      <c r="M109" s="5">
        <f t="shared" si="4"/>
        <v>221</v>
      </c>
      <c r="N109" s="6">
        <v>30</v>
      </c>
      <c r="O109" s="6">
        <v>30</v>
      </c>
      <c r="P109" s="6">
        <v>44</v>
      </c>
      <c r="Q109" s="6">
        <v>14</v>
      </c>
      <c r="R109" s="6">
        <v>59</v>
      </c>
      <c r="S109" s="6">
        <v>0</v>
      </c>
      <c r="T109" s="5">
        <f t="shared" si="5"/>
        <v>44</v>
      </c>
      <c r="U109" s="6">
        <v>0</v>
      </c>
      <c r="V109" s="6">
        <v>44</v>
      </c>
      <c r="W109" s="6">
        <v>74</v>
      </c>
    </row>
    <row r="110" spans="1:23">
      <c r="A110" s="5" t="s">
        <v>332</v>
      </c>
      <c r="B110" s="5" t="s">
        <v>389</v>
      </c>
      <c r="C110" s="5" t="s">
        <v>26</v>
      </c>
      <c r="D110" s="5" t="s">
        <v>390</v>
      </c>
      <c r="E110" s="5" t="s">
        <v>391</v>
      </c>
      <c r="F110" s="5" t="s">
        <v>29</v>
      </c>
      <c r="G110" s="6">
        <v>1130</v>
      </c>
      <c r="H110" s="5" t="s">
        <v>407</v>
      </c>
      <c r="I110" s="5" t="s">
        <v>393</v>
      </c>
      <c r="J110" s="6">
        <v>881</v>
      </c>
      <c r="K110" s="6">
        <v>0</v>
      </c>
      <c r="L110" s="5" t="s">
        <v>32</v>
      </c>
      <c r="M110" s="5">
        <f t="shared" si="4"/>
        <v>659</v>
      </c>
      <c r="N110" s="6">
        <v>88</v>
      </c>
      <c r="O110" s="6">
        <v>88</v>
      </c>
      <c r="P110" s="6">
        <v>132</v>
      </c>
      <c r="Q110" s="6">
        <v>44</v>
      </c>
      <c r="R110" s="6">
        <v>176</v>
      </c>
      <c r="S110" s="6">
        <v>0</v>
      </c>
      <c r="T110" s="5">
        <f t="shared" si="5"/>
        <v>131</v>
      </c>
      <c r="U110" s="6">
        <v>44</v>
      </c>
      <c r="V110" s="6">
        <v>87</v>
      </c>
      <c r="W110" s="6">
        <v>222</v>
      </c>
    </row>
    <row r="111" spans="1:23">
      <c r="A111" s="5" t="s">
        <v>332</v>
      </c>
      <c r="B111" s="5" t="s">
        <v>408</v>
      </c>
      <c r="C111" s="5" t="s">
        <v>409</v>
      </c>
      <c r="D111" s="5" t="s">
        <v>135</v>
      </c>
      <c r="E111" s="5" t="s">
        <v>410</v>
      </c>
      <c r="F111" s="5" t="s">
        <v>29</v>
      </c>
      <c r="G111" s="6">
        <v>387</v>
      </c>
      <c r="H111" s="5" t="s">
        <v>411</v>
      </c>
      <c r="I111" s="5" t="s">
        <v>359</v>
      </c>
      <c r="J111" s="6">
        <v>387</v>
      </c>
      <c r="K111" s="6">
        <v>0</v>
      </c>
      <c r="L111" s="5" t="s">
        <v>32</v>
      </c>
      <c r="M111" s="5">
        <f t="shared" si="4"/>
        <v>290</v>
      </c>
      <c r="N111" s="6">
        <v>39</v>
      </c>
      <c r="O111" s="6">
        <v>39</v>
      </c>
      <c r="P111" s="6">
        <v>58</v>
      </c>
      <c r="Q111" s="6">
        <v>19</v>
      </c>
      <c r="R111" s="6">
        <v>77</v>
      </c>
      <c r="S111" s="6">
        <v>0</v>
      </c>
      <c r="T111" s="5">
        <f t="shared" si="5"/>
        <v>58</v>
      </c>
      <c r="U111" s="6">
        <v>19</v>
      </c>
      <c r="V111" s="6">
        <v>39</v>
      </c>
      <c r="W111" s="6">
        <v>97</v>
      </c>
    </row>
  </sheetData>
  <autoFilter ref="A4:W111" xr:uid="{00000000-0009-0000-0000-000000000000}"/>
  <mergeCells count="14">
    <mergeCell ref="A2:A4"/>
    <mergeCell ref="B2:B4"/>
    <mergeCell ref="C2:C4"/>
    <mergeCell ref="D2:D4"/>
    <mergeCell ref="J2:W2"/>
    <mergeCell ref="J3:J4"/>
    <mergeCell ref="K3:K4"/>
    <mergeCell ref="M3:T3"/>
    <mergeCell ref="W3:W4"/>
    <mergeCell ref="E2:E4"/>
    <mergeCell ref="F2:F4"/>
    <mergeCell ref="G2:G4"/>
    <mergeCell ref="H2:H4"/>
    <mergeCell ref="I2:I4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박창민</dc:creator>
  <cp:lastModifiedBy>이하영</cp:lastModifiedBy>
  <dcterms:created xsi:type="dcterms:W3CDTF">2025-11-11T01:21:35Z</dcterms:created>
  <dcterms:modified xsi:type="dcterms:W3CDTF">2026-09-10T08:02:18Z</dcterms:modified>
</cp:coreProperties>
</file>